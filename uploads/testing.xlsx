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力用_記入例" sheetId="1" r:id="rId4"/>
    <sheet state="visible" name="Copy of 入力用_記入例" sheetId="2" r:id="rId5"/>
  </sheets>
  <definedNames/>
  <calcPr/>
  <extLst>
    <ext uri="GoogleSheetsCustomDataVersion2">
      <go:sheetsCustomData xmlns:go="http://customooxmlschemas.google.com/" r:id="rId6" roundtripDataChecksum="O0/oWMAY0sQTkuHwHPiKV/OUJgHGkX+/+IVQpyULN28="/>
    </ext>
  </extLst>
</workbook>
</file>

<file path=xl/sharedStrings.xml><?xml version="1.0" encoding="utf-8"?>
<sst xmlns="http://schemas.openxmlformats.org/spreadsheetml/2006/main" count="354" uniqueCount="99">
  <si>
    <t>会社名</t>
  </si>
  <si>
    <t>EYE</t>
  </si>
  <si>
    <t>※色付きのセルには計算式が入っています。</t>
  </si>
  <si>
    <t>【実績データ集計】</t>
  </si>
  <si>
    <t>責任者</t>
  </si>
  <si>
    <t>金子尚司</t>
  </si>
  <si>
    <t>前月実績</t>
  </si>
  <si>
    <t>当月見込</t>
  </si>
  <si>
    <t>次月予測</t>
  </si>
  <si>
    <t>営業</t>
  </si>
  <si>
    <t>売上総額</t>
  </si>
  <si>
    <t>報告月</t>
  </si>
  <si>
    <t>粗利益</t>
  </si>
  <si>
    <t>粗利益率（％）</t>
  </si>
  <si>
    <t>契約件数</t>
  </si>
  <si>
    <t>平均単価</t>
  </si>
  <si>
    <t>MIN単価</t>
  </si>
  <si>
    <t>※請求額ではなく、契約した単価</t>
  </si>
  <si>
    <t>（単位：千円）</t>
  </si>
  <si>
    <t>MAX単価</t>
  </si>
  <si>
    <t>【実績データ（サービス別）】</t>
  </si>
  <si>
    <t>※</t>
  </si>
  <si>
    <t>High-End 
（800,-以上）件数</t>
  </si>
  <si>
    <t>単価80万円以上_件数</t>
  </si>
  <si>
    <t>単価40万円以下_件数</t>
  </si>
  <si>
    <t>Below Minimum Requirement
 （400,-以下）件数</t>
  </si>
  <si>
    <t>総額</t>
  </si>
  <si>
    <t>ｼｽﾃﾑｱｳﾄｿｰｼﾝｸﾞ(ﾌﾟﾛﾊﾟｰ)</t>
  </si>
  <si>
    <t>ｼｽﾃﾑｱｳﾄｿｰｼﾝｸﾞ(BP)</t>
  </si>
  <si>
    <t>セキュリティ</t>
  </si>
  <si>
    <t>その他</t>
  </si>
  <si>
    <t>未稼働</t>
  </si>
  <si>
    <t>未稼働（退職有休消化）</t>
  </si>
  <si>
    <t>未稼働（休職）</t>
  </si>
  <si>
    <t>PLハイライト（売上・粗利）</t>
  </si>
  <si>
    <t xml:space="preserve">　※利益の増減理由や、入退社・未稼働状況など、現状および今後の見通しを記載</t>
  </si>
  <si>
    <t>前月差</t>
  </si>
  <si>
    <t>前月比</t>
  </si>
  <si>
    <t>粗利率（％）</t>
  </si>
  <si>
    <t>【コメント】</t>
  </si>
  <si>
    <t>10月の一時的な売上：150万円（PW-RGS）</t>
  </si>
  <si>
    <t>プロジェクト終了：62万円（金子彰伸）、</t>
  </si>
  <si>
    <t>売上169万円分の減少を調査中（営業日（21日→18日が影響か？その他影響を調査）</t>
  </si>
  <si>
    <t>11月減少の要因次第ではあるが、現状のところ3200万円台までは回復想定</t>
  </si>
  <si>
    <t>1月は退職2名とプロジェクト終了1件、SCSK Minoriソリューションズプロジェクトパートナー3件終了（詳細は後述）のため、大幅に売り上げが減少する見込み</t>
  </si>
  <si>
    <t>11月末で2名退職分の２件が減収予想　72万円（富士ソフト　阿部慶太）、65万円（インテック　根石友哉）</t>
  </si>
  <si>
    <t>12月末で、１件の契約が終了　85万円（レックアイ　椎津進）</t>
  </si>
  <si>
    <t>1月は12月末終了及び失ったパートナーの受注を他のプロジェクトで受注を目指すことで12月同等の基準まで回復を目指す</t>
  </si>
  <si>
    <t>顧客の動向（外部：マーケット・顧客状況）</t>
  </si>
  <si>
    <t>（入力例：案件状況／発注傾向の変化／顧客内の組織改編／来期の増員・縮小見通し／競合動向／顧客の声・所感 など）</t>
  </si>
  <si>
    <t>直顧客</t>
  </si>
  <si>
    <t>ＳＢテクノロジー株式会社</t>
  </si>
  <si>
    <t>PayPayデータ運用業務　snowflake+Python</t>
  </si>
  <si>
    <t>株式会社コアコンセプト・テクノロジー</t>
  </si>
  <si>
    <t>統合開発ネットワークの開発支援</t>
  </si>
  <si>
    <t>アサヒビジネスソリューションズ株式会社</t>
  </si>
  <si>
    <t>アサヒグループのTeams、Exchange、SharePointなどの365関連、デバイス関連（iPhone, iPad, パソコン）、Boxの運用管理、ネットワーク切り替えで出張も発生している</t>
  </si>
  <si>
    <t>ＳＣＳＫ Ｍｉｎｏｒｉソリューションズ株式会社</t>
  </si>
  <si>
    <t>対象企業がNECからNECフィールディングに移管　センターを武蔵小杉から新宿へ移動　顧客ガバナンスの影響で直接の派遣契約のみとなり、12月末で3件のパートナー終了</t>
  </si>
  <si>
    <t>株式会社ランドコンピュータ</t>
  </si>
  <si>
    <t>医療系コールセンター対応　農協システム保守</t>
  </si>
  <si>
    <t>株式会社Ｎ．ジェン</t>
  </si>
  <si>
    <t>エンド：千代田加工建設（プランとエンジニアリング）情シス系システム開発　予算少なく、更新を随時確認中　終了可能性あり</t>
  </si>
  <si>
    <t>株式会社レックアイ</t>
  </si>
  <si>
    <t>顧客体制縮小のため、12月末終了　社内体制は混乱をしている模様</t>
  </si>
  <si>
    <t>株式会社インテック</t>
  </si>
  <si>
    <t>SMBC Solaris VerUP対応及び金融系Java開発（こちらは担当退職により12月末終了）</t>
  </si>
  <si>
    <t>経営状況（事業運営：売上・粗利・稼働などの“構造”）</t>
  </si>
  <si>
    <t>（入力例：稼働・未稼働の要因／費用構造の変化／案件の採算性／人材需給ギャップ／リスク要因・再発防止ポイント など）</t>
  </si>
  <si>
    <t>【稼働状態】</t>
  </si>
  <si>
    <t>Idle Trap Mode
（未計画の未稼働状態）</t>
  </si>
  <si>
    <t>Strategic Reserve Mode
（戦略的未稼働人数）</t>
  </si>
  <si>
    <t>【商流情報】</t>
  </si>
  <si>
    <t>*
*</t>
  </si>
  <si>
    <t>商流間業者数</t>
  </si>
  <si>
    <t>※間に入っている社数の合計</t>
  </si>
  <si>
    <t>商流業者数 / 契約件数</t>
  </si>
  <si>
    <t>現未稼働</t>
  </si>
  <si>
    <t>1名</t>
  </si>
  <si>
    <t>金子彰伸</t>
  </si>
  <si>
    <t>12月末終了</t>
  </si>
  <si>
    <t>3件</t>
  </si>
  <si>
    <t>退職に伴うプロジェクト終了2件　阿部慶太、根石祐哉</t>
  </si>
  <si>
    <t>プロジェクト終了1件　椎津進</t>
  </si>
  <si>
    <t>採用活動</t>
  </si>
  <si>
    <t>応募4件　面接1件　案件あり契約社員1件（広島在住　EXCEL/VBA要員　住居と月１交通費の負担があれば東京での勤務も可能）</t>
  </si>
  <si>
    <t>不調のため、採用活動をCGDに移管</t>
  </si>
  <si>
    <t>パートナーによる受注活動を継続中</t>
  </si>
  <si>
    <t>社内の状況（内部：組織・人・オペレーション）</t>
  </si>
  <si>
    <t>（入力例：組織体制の変化／採用・離職の状況／社内コミュニケーション／業務オペレーションの課題／教育・育成状況／メンバーの状態・所感 など）</t>
  </si>
  <si>
    <r>
      <rPr>
        <rFont val="Arial"/>
        <b/>
        <color theme="1"/>
        <sz val="10.0"/>
      </rPr>
      <t>【社員情報】</t>
    </r>
    <r>
      <rPr>
        <rFont val="Arial"/>
        <b/>
        <color rgb="FFFF0000"/>
        <sz val="10.0"/>
      </rPr>
      <t>※内勤も含む</t>
    </r>
  </si>
  <si>
    <t>全社員数（休職を除く）</t>
  </si>
  <si>
    <t>休職中</t>
  </si>
  <si>
    <t>P/H
（社員一人当たりの実績）</t>
  </si>
  <si>
    <t>社内コミュニケーション</t>
  </si>
  <si>
    <t>帰社日：10月、12月の開催で9名参加　以後も継続</t>
  </si>
  <si>
    <t>勉強会企画：テーマ検討中</t>
  </si>
  <si>
    <t>CGD</t>
  </si>
  <si>
    <r>
      <rPr>
        <rFont val="Arial"/>
        <b/>
        <color theme="1"/>
        <sz val="10.0"/>
      </rPr>
      <t>【社員情報】</t>
    </r>
    <r>
      <rPr>
        <rFont val="Arial"/>
        <b/>
        <color rgb="FFFF0000"/>
        <sz val="10.0"/>
      </rPr>
      <t>※内勤も含む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</si>
</sst>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## 件"/>
    <numFmt numFmtId="165" formatCode="yyyy&quot;年&quot;m&quot;月分&quot;"/>
    <numFmt numFmtId="166" formatCode="&quot;◆当月（&quot;m&quot;月）の結果&quot;"/>
    <numFmt numFmtId="167" formatCode="yyyy&quot;年&quot;m&quot;月&quot;"/>
    <numFmt numFmtId="168" formatCode="0.0 Pt;▲0.0 Pt"/>
    <numFmt numFmtId="169" formatCode="0.0 %;▲0.0 %"/>
    <numFmt numFmtId="170" formatCode="#,##0_);▲#,##0_)"/>
    <numFmt numFmtId="171" formatCode="0.00 Pt;▲0.00 Pt"/>
    <numFmt numFmtId="172" formatCode="0.00 件;▲0.00 件"/>
    <numFmt numFmtId="173" formatCode="&quot;◆次月（&quot;m&quot;月）からの見込み&quot;"/>
    <numFmt numFmtId="174" formatCode="0 件;▲0 件"/>
    <numFmt numFmtId="175" formatCode="## 人"/>
    <numFmt numFmtId="176" formatCode="## 千円"/>
  </numFmts>
  <fonts count="16">
    <font>
      <sz val="10.0"/>
      <color rgb="FF000000"/>
      <name val="Arial"/>
      <scheme val="minor"/>
    </font>
    <font>
      <sz val="9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1155CC"/>
      <name val="Arial"/>
    </font>
    <font>
      <sz val="10.0"/>
      <color rgb="FF4A86E8"/>
      <name val="Arial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sz val="10.0"/>
      <color theme="1"/>
      <name val="Calibri"/>
    </font>
    <font>
      <b/>
      <sz val="11.0"/>
      <color theme="1"/>
      <name val="Arial"/>
    </font>
    <font>
      <sz val="11.0"/>
      <color rgb="FF0B5394"/>
      <name val="Oi"/>
    </font>
    <font>
      <sz val="10.0"/>
      <color theme="1"/>
      <name val="Oi"/>
    </font>
    <font>
      <sz val="11.0"/>
      <color rgb="FF0B5394"/>
      <name val="Arial"/>
    </font>
    <font>
      <sz val="9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Border="1" applyFill="1" applyFont="1"/>
    <xf borderId="1" fillId="0" fontId="3" numFmtId="0" xfId="0" applyAlignment="1" applyBorder="1" applyFont="1">
      <alignment horizontal="center" shrinkToFit="0" vertical="bottom" wrapText="1"/>
    </xf>
    <xf borderId="1" fillId="3" fontId="4" numFmtId="0" xfId="0" applyBorder="1" applyFill="1" applyFont="1"/>
    <xf borderId="2" fillId="3" fontId="5" numFmtId="0" xfId="0" applyBorder="1" applyFont="1"/>
    <xf borderId="3" fillId="3" fontId="5" numFmtId="0" xfId="0" applyBorder="1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3" numFmtId="0" xfId="0" applyAlignment="1" applyBorder="1" applyFont="1">
      <alignment horizontal="center"/>
    </xf>
    <xf borderId="1" fillId="2" fontId="7" numFmtId="0" xfId="0" applyAlignment="1" applyBorder="1" applyFont="1">
      <alignment vertical="bottom"/>
    </xf>
    <xf borderId="1" fillId="2" fontId="6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3" fontId="7" numFmtId="3" xfId="0" applyAlignment="1" applyBorder="1" applyFont="1" applyNumberFormat="1">
      <alignment horizontal="right" vertical="bottom"/>
    </xf>
    <xf borderId="1" fillId="3" fontId="3" numFmtId="3" xfId="0" applyBorder="1" applyFont="1" applyNumberFormat="1"/>
    <xf borderId="1" fillId="3" fontId="3" numFmtId="0" xfId="0" applyAlignment="1" applyBorder="1" applyFont="1">
      <alignment horizontal="center"/>
    </xf>
    <xf borderId="4" fillId="2" fontId="7" numFmtId="0" xfId="0" applyAlignment="1" applyBorder="1" applyFont="1">
      <alignment horizontal="center" vertical="bottom"/>
    </xf>
    <xf borderId="1" fillId="3" fontId="7" numFmtId="10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horizontal="center"/>
    </xf>
    <xf borderId="1" fillId="3" fontId="7" numFmtId="164" xfId="0" applyAlignment="1" applyBorder="1" applyFont="1" applyNumberFormat="1">
      <alignment horizontal="right" vertical="bottom"/>
    </xf>
    <xf borderId="1" fillId="3" fontId="3" numFmtId="165" xfId="0" applyAlignment="1" applyBorder="1" applyFont="1" applyNumberFormat="1">
      <alignment horizontal="center"/>
    </xf>
    <xf borderId="0" fillId="0" fontId="3" numFmtId="0" xfId="0" applyAlignment="1" applyFont="1">
      <alignment vertical="bottom"/>
    </xf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right"/>
    </xf>
    <xf borderId="1" fillId="2" fontId="8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5" fillId="3" fontId="3" numFmtId="0" xfId="0" applyBorder="1" applyFont="1"/>
    <xf borderId="6" fillId="3" fontId="3" numFmtId="3" xfId="0" applyBorder="1" applyFont="1" applyNumberFormat="1"/>
    <xf borderId="6" fillId="3" fontId="3" numFmtId="10" xfId="0" applyBorder="1" applyFont="1" applyNumberFormat="1"/>
    <xf borderId="6" fillId="3" fontId="3" numFmtId="164" xfId="0" applyBorder="1" applyFont="1" applyNumberFormat="1"/>
    <xf borderId="7" fillId="0" fontId="3" numFmtId="0" xfId="0" applyBorder="1" applyFont="1"/>
    <xf borderId="8" fillId="0" fontId="3" numFmtId="3" xfId="0" applyBorder="1" applyFont="1" applyNumberFormat="1"/>
    <xf borderId="8" fillId="3" fontId="3" numFmtId="10" xfId="0" applyBorder="1" applyFont="1" applyNumberFormat="1"/>
    <xf borderId="8" fillId="0" fontId="3" numFmtId="164" xfId="0" applyBorder="1" applyFont="1" applyNumberFormat="1"/>
    <xf borderId="8" fillId="3" fontId="3" numFmtId="3" xfId="0" applyBorder="1" applyFont="1" applyNumberFormat="1"/>
    <xf borderId="1" fillId="0" fontId="3" numFmtId="3" xfId="0" applyBorder="1" applyFont="1" applyNumberFormat="1"/>
    <xf borderId="1" fillId="3" fontId="3" numFmtId="10" xfId="0" applyBorder="1" applyFont="1" applyNumberFormat="1"/>
    <xf borderId="1" fillId="0" fontId="3" numFmtId="164" xfId="0" applyBorder="1" applyFont="1" applyNumberFormat="1"/>
    <xf borderId="7" fillId="0" fontId="3" numFmtId="0" xfId="0" applyAlignment="1" applyBorder="1" applyFont="1">
      <alignment vertical="bottom"/>
    </xf>
    <xf borderId="9" fillId="0" fontId="3" numFmtId="0" xfId="0" applyBorder="1" applyFont="1"/>
    <xf borderId="1" fillId="4" fontId="3" numFmtId="0" xfId="0" applyBorder="1" applyFill="1" applyFont="1"/>
    <xf borderId="1" fillId="4" fontId="3" numFmtId="164" xfId="0" applyBorder="1" applyFont="1" applyNumberFormat="1"/>
    <xf borderId="0" fillId="0" fontId="10" numFmtId="0" xfId="0" applyFont="1"/>
    <xf borderId="0" fillId="0" fontId="3" numFmtId="0" xfId="0" applyAlignment="1" applyFont="1">
      <alignment horizontal="right" vertical="bottom"/>
    </xf>
    <xf borderId="0" fillId="0" fontId="11" numFmtId="0" xfId="0" applyFont="1"/>
    <xf borderId="0" fillId="0" fontId="12" numFmtId="0" xfId="0" applyFont="1"/>
    <xf borderId="0" fillId="0" fontId="8" numFmtId="166" xfId="0" applyAlignment="1" applyFont="1" applyNumberFormat="1">
      <alignment horizontal="left" shrinkToFit="0" wrapText="0"/>
    </xf>
    <xf borderId="10" fillId="2" fontId="8" numFmtId="0" xfId="0" applyAlignment="1" applyBorder="1" applyFont="1">
      <alignment horizontal="center"/>
    </xf>
    <xf borderId="4" fillId="2" fontId="8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8" fillId="2" fontId="8" numFmtId="167" xfId="0" applyAlignment="1" applyBorder="1" applyFont="1" applyNumberFormat="1">
      <alignment horizontal="center"/>
    </xf>
    <xf borderId="8" fillId="2" fontId="8" numFmtId="0" xfId="0" applyAlignment="1" applyBorder="1" applyFont="1">
      <alignment horizontal="center"/>
    </xf>
    <xf borderId="8" fillId="2" fontId="3" numFmtId="168" xfId="0" applyBorder="1" applyFont="1" applyNumberFormat="1"/>
    <xf borderId="8" fillId="2" fontId="3" numFmtId="0" xfId="0" applyAlignment="1" applyBorder="1" applyFont="1">
      <alignment horizontal="center"/>
    </xf>
    <xf borderId="8" fillId="3" fontId="3" numFmtId="169" xfId="0" applyBorder="1" applyFont="1" applyNumberFormat="1"/>
    <xf borderId="4" fillId="2" fontId="3" numFmtId="0" xfId="0" applyAlignment="1" applyBorder="1" applyFont="1">
      <alignment horizontal="center"/>
    </xf>
    <xf borderId="8" fillId="3" fontId="3" numFmtId="170" xfId="0" applyBorder="1" applyFont="1" applyNumberFormat="1"/>
    <xf borderId="1" fillId="2" fontId="3" numFmtId="0" xfId="0" applyAlignment="1" applyBorder="1" applyFont="1">
      <alignment horizontal="center"/>
    </xf>
    <xf borderId="8" fillId="4" fontId="3" numFmtId="170" xfId="0" applyBorder="1" applyFont="1" applyNumberFormat="1"/>
    <xf borderId="1" fillId="3" fontId="3" numFmtId="171" xfId="0" applyBorder="1" applyFont="1" applyNumberFormat="1"/>
    <xf borderId="1" fillId="3" fontId="3" numFmtId="164" xfId="0" applyBorder="1" applyFont="1" applyNumberFormat="1"/>
    <xf borderId="1" fillId="3" fontId="3" numFmtId="172" xfId="0" applyBorder="1" applyFont="1" applyNumberFormat="1"/>
    <xf borderId="0" fillId="0" fontId="13" numFmtId="0" xfId="0" applyFont="1"/>
    <xf borderId="0" fillId="0" fontId="8" numFmtId="173" xfId="0" applyAlignment="1" applyFont="1" applyNumberFormat="1">
      <alignment horizontal="left" shrinkToFit="0" wrapText="0"/>
    </xf>
    <xf borderId="1" fillId="3" fontId="3" numFmtId="3" xfId="0" applyAlignment="1" applyBorder="1" applyFont="1" applyNumberFormat="1">
      <alignment horizontal="right" vertical="bottom"/>
    </xf>
    <xf borderId="1" fillId="3" fontId="3" numFmtId="174" xfId="0" applyBorder="1" applyFont="1" applyNumberFormat="1"/>
    <xf borderId="0" fillId="0" fontId="14" numFmtId="0" xfId="0" applyFont="1"/>
    <xf borderId="1" fillId="2" fontId="3" numFmtId="0" xfId="0" applyAlignment="1" applyBorder="1" applyFont="1">
      <alignment vertical="bottom"/>
    </xf>
    <xf borderId="1" fillId="0" fontId="3" numFmtId="175" xfId="0" applyBorder="1" applyFont="1" applyNumberFormat="1"/>
    <xf borderId="9" fillId="2" fontId="3" numFmtId="0" xfId="0" applyBorder="1" applyFont="1"/>
    <xf borderId="0" fillId="0" fontId="15" numFmtId="0" xfId="0" applyAlignment="1" applyFont="1">
      <alignment vertical="bottom"/>
    </xf>
    <xf borderId="1" fillId="0" fontId="3" numFmtId="0" xfId="0" applyBorder="1" applyFont="1"/>
    <xf borderId="1" fillId="3" fontId="3" numFmtId="4" xfId="0" applyBorder="1" applyFont="1" applyNumberFormat="1"/>
    <xf borderId="1" fillId="3" fontId="3" numFmtId="176" xfId="0" applyBorder="1" applyFont="1" applyNumberFormat="1"/>
    <xf borderId="1" fillId="0" fontId="3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5.38"/>
    <col customWidth="1" min="3" max="3" width="20.0"/>
    <col customWidth="1" min="4" max="12" width="12.88"/>
    <col customWidth="1" min="13" max="13" width="9.38"/>
    <col customWidth="1" hidden="1" min="14" max="14" width="22.75" outlineLevel="1"/>
    <col customWidth="1" hidden="1" min="15" max="17" width="7.63" outlineLevel="1"/>
    <col customWidth="1" min="18" max="26" width="7.63"/>
  </cols>
  <sheetData>
    <row r="1" ht="15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2"/>
      <c r="C2" s="4" t="s">
        <v>0</v>
      </c>
      <c r="D2" s="5" t="s">
        <v>1</v>
      </c>
      <c r="E2" s="3"/>
      <c r="F2" s="6" t="s">
        <v>2</v>
      </c>
      <c r="G2" s="7"/>
      <c r="H2" s="8"/>
      <c r="I2" s="3"/>
      <c r="J2" s="3"/>
      <c r="K2" s="3"/>
      <c r="L2" s="3"/>
      <c r="M2" s="3"/>
      <c r="N2" s="9" t="s">
        <v>3</v>
      </c>
      <c r="O2" s="10"/>
      <c r="P2" s="10"/>
      <c r="Q2" s="10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2"/>
      <c r="C3" s="4" t="s">
        <v>4</v>
      </c>
      <c r="D3" s="11" t="s">
        <v>5</v>
      </c>
      <c r="E3" s="3"/>
      <c r="F3" s="3"/>
      <c r="G3" s="3"/>
      <c r="H3" s="3"/>
      <c r="I3" s="3"/>
      <c r="J3" s="3"/>
      <c r="K3" s="3"/>
      <c r="L3" s="3"/>
      <c r="M3" s="3"/>
      <c r="N3" s="12"/>
      <c r="O3" s="13" t="s">
        <v>6</v>
      </c>
      <c r="P3" s="13" t="s">
        <v>7</v>
      </c>
      <c r="Q3" s="13" t="s">
        <v>8</v>
      </c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2"/>
      <c r="C4" s="4" t="s">
        <v>9</v>
      </c>
      <c r="D4" s="11"/>
      <c r="E4" s="3"/>
      <c r="F4" s="3"/>
      <c r="G4" s="3"/>
      <c r="H4" s="3"/>
      <c r="I4" s="3"/>
      <c r="J4" s="3"/>
      <c r="K4" s="3"/>
      <c r="L4" s="3"/>
      <c r="M4" s="3"/>
      <c r="N4" s="14" t="s">
        <v>10</v>
      </c>
      <c r="O4" s="15">
        <f>IFERROR(__xludf.DUMMYFUNCTION("TRANSPOSE(BYCOL(FILTER($D$13:$L$19, $C$13:$C$19=""総額""), LAMBDA(col, SUM(col))))
"),11100.0)</f>
        <v>11100</v>
      </c>
      <c r="P4" s="16">
        <f>IFERROR(__xludf.DUMMYFUNCTION("TRANSPOSE(BYCOL(FILTER($D$23:$L$29, $C$23:$C$29=""総額""), LAMBDA(col, SUM(col))))
"),10100.0)</f>
        <v>10100</v>
      </c>
      <c r="Q4" s="15">
        <f>IFERROR(__xludf.DUMMYFUNCTION("TRANSPOSE(BYCOL(FILTER($D$32:$L$38, $C$32:$C$38=""総額""), LAMBDA(col, SUM(col))))
"),10100.0)</f>
        <v>10100</v>
      </c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2"/>
      <c r="C5" s="4" t="s">
        <v>11</v>
      </c>
      <c r="D5" s="17" t="str">
        <f>'シート1'!C2</f>
        <v>#REF!</v>
      </c>
      <c r="E5" s="3"/>
      <c r="F5" s="3"/>
      <c r="G5" s="3"/>
      <c r="H5" s="3"/>
      <c r="I5" s="3"/>
      <c r="J5" s="3"/>
      <c r="K5" s="3"/>
      <c r="L5" s="3"/>
      <c r="M5" s="3"/>
      <c r="N5" s="18" t="s">
        <v>12</v>
      </c>
      <c r="O5" s="15">
        <f>IFERROR(__xludf.DUMMYFUNCTION("""COMPUTED_VALUE"""),2565.0)</f>
        <v>2565</v>
      </c>
      <c r="P5" s="15">
        <f>IFERROR(__xludf.DUMMYFUNCTION("""COMPUTED_VALUE"""),2595.0)</f>
        <v>2595</v>
      </c>
      <c r="Q5" s="15">
        <f>IFERROR(__xludf.DUMMYFUNCTION("""COMPUTED_VALUE"""),2595.0)</f>
        <v>2595</v>
      </c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4" t="s">
        <v>13</v>
      </c>
      <c r="O6" s="19">
        <f>IFERROR(__xludf.DUMMYFUNCTION("""COMPUTED_VALUE"""),0.23108108108108108)</f>
        <v>0.2310810811</v>
      </c>
      <c r="P6" s="19">
        <f>IFERROR(__xludf.DUMMYFUNCTION("""COMPUTED_VALUE"""),0.25693069306930694)</f>
        <v>0.2569306931</v>
      </c>
      <c r="Q6" s="19">
        <f>IFERROR(__xludf.DUMMYFUNCTION("""COMPUTED_VALUE"""),0.25693069306930694)</f>
        <v>0.2569306931</v>
      </c>
      <c r="R6" s="3"/>
      <c r="S6" s="3"/>
      <c r="T6" s="3"/>
      <c r="U6" s="3"/>
      <c r="V6" s="3"/>
      <c r="W6" s="3"/>
      <c r="X6" s="3"/>
      <c r="Y6" s="3"/>
      <c r="Z6" s="3"/>
    </row>
    <row r="7" ht="15.75" customHeight="1" outlineLevel="1">
      <c r="A7" s="1"/>
      <c r="B7" s="2"/>
      <c r="C7" s="20" t="s">
        <v>6</v>
      </c>
      <c r="D7" s="20" t="s">
        <v>7</v>
      </c>
      <c r="E7" s="20" t="s">
        <v>8</v>
      </c>
      <c r="F7" s="3"/>
      <c r="G7" s="3"/>
      <c r="H7" s="3"/>
      <c r="I7" s="3"/>
      <c r="J7" s="3"/>
      <c r="K7" s="3"/>
      <c r="L7" s="3"/>
      <c r="M7" s="3"/>
      <c r="N7" s="18" t="s">
        <v>14</v>
      </c>
      <c r="O7" s="21">
        <f>IFERROR(__xludf.DUMMYFUNCTION("""COMPUTED_VALUE"""),33.0)</f>
        <v>33</v>
      </c>
      <c r="P7" s="21">
        <f>IFERROR(__xludf.DUMMYFUNCTION("""COMPUTED_VALUE"""),26.0)</f>
        <v>26</v>
      </c>
      <c r="Q7" s="21">
        <f>IFERROR(__xludf.DUMMYFUNCTION("""COMPUTED_VALUE"""),25.0)</f>
        <v>25</v>
      </c>
      <c r="R7" s="3"/>
      <c r="S7" s="3"/>
      <c r="T7" s="3"/>
      <c r="U7" s="3"/>
      <c r="V7" s="3"/>
      <c r="W7" s="3"/>
      <c r="X7" s="3"/>
      <c r="Y7" s="3"/>
      <c r="Z7" s="3"/>
    </row>
    <row r="8" ht="15.75" customHeight="1" outlineLevel="1">
      <c r="A8" s="1"/>
      <c r="B8" s="2"/>
      <c r="C8" s="22" t="str">
        <f>EOMONTH(D5,-1)</f>
        <v>#REF!</v>
      </c>
      <c r="D8" s="22" t="str">
        <f t="shared" ref="D8:E8" si="1">EOMONTH(C8,1)</f>
        <v>#REF!</v>
      </c>
      <c r="E8" s="22" t="str">
        <f t="shared" si="1"/>
        <v>#REF!</v>
      </c>
      <c r="F8" s="3"/>
      <c r="G8" s="3"/>
      <c r="H8" s="3"/>
      <c r="I8" s="3"/>
      <c r="J8" s="3"/>
      <c r="K8" s="3"/>
      <c r="L8" s="3"/>
      <c r="M8" s="3"/>
      <c r="N8" s="18" t="s">
        <v>15</v>
      </c>
      <c r="O8" s="15">
        <f>IFERROR(__xludf.DUMMYFUNCTION("""COMPUTED_VALUE"""),336.3636363636364)</f>
        <v>336.3636364</v>
      </c>
      <c r="P8" s="15">
        <f>IFERROR(__xludf.DUMMYFUNCTION("""COMPUTED_VALUE"""),388.46153846153845)</f>
        <v>388.4615385</v>
      </c>
      <c r="Q8" s="15">
        <f>IFERROR(__xludf.DUMMYFUNCTION("""COMPUTED_VALUE"""),404.0)</f>
        <v>404</v>
      </c>
      <c r="R8" s="3"/>
      <c r="S8" s="3"/>
      <c r="T8" s="3"/>
      <c r="U8" s="3"/>
      <c r="V8" s="3"/>
      <c r="W8" s="3"/>
      <c r="X8" s="3"/>
      <c r="Y8" s="3"/>
      <c r="Z8" s="3"/>
    </row>
    <row r="9" ht="15.75" customHeight="1" outlineLevel="1">
      <c r="A9" s="1"/>
      <c r="B9" s="2"/>
      <c r="C9" s="3"/>
      <c r="D9" s="3"/>
      <c r="E9" s="3"/>
      <c r="F9" s="3"/>
      <c r="G9" s="3"/>
      <c r="H9" s="3"/>
      <c r="I9" s="23"/>
      <c r="J9" s="23"/>
      <c r="K9" s="23"/>
      <c r="L9" s="3"/>
      <c r="M9" s="23"/>
      <c r="N9" s="18" t="s">
        <v>16</v>
      </c>
      <c r="O9" s="15">
        <f>IFERROR(__xludf.DUMMYFUNCTION("""COMPUTED_VALUE"""),400.0)</f>
        <v>400</v>
      </c>
      <c r="P9" s="15">
        <f>IFERROR(__xludf.DUMMYFUNCTION("""COMPUTED_VALUE"""),400.0)</f>
        <v>400</v>
      </c>
      <c r="Q9" s="15">
        <f>IFERROR(__xludf.DUMMYFUNCTION("""COMPUTED_VALUE"""),400.0)</f>
        <v>400</v>
      </c>
      <c r="R9" s="3"/>
      <c r="S9" s="3"/>
      <c r="T9" s="3"/>
      <c r="U9" s="3"/>
      <c r="V9" s="3"/>
      <c r="W9" s="3"/>
      <c r="X9" s="3"/>
      <c r="Y9" s="3"/>
      <c r="Z9" s="3"/>
    </row>
    <row r="10" ht="15.75" customHeight="1" outlineLevel="1">
      <c r="A10" s="1"/>
      <c r="B10" s="2"/>
      <c r="C10" s="24"/>
      <c r="D10" s="3"/>
      <c r="E10" s="3"/>
      <c r="F10" s="3"/>
      <c r="G10" s="3"/>
      <c r="H10" s="3"/>
      <c r="I10" s="25" t="s">
        <v>17</v>
      </c>
      <c r="J10" s="26"/>
      <c r="K10" s="26"/>
      <c r="L10" s="27" t="s">
        <v>18</v>
      </c>
      <c r="M10" s="25"/>
      <c r="N10" s="14" t="s">
        <v>19</v>
      </c>
      <c r="O10" s="15">
        <f>IFERROR(__xludf.DUMMYFUNCTION("""COMPUTED_VALUE"""),200.0)</f>
        <v>200</v>
      </c>
      <c r="P10" s="15">
        <f>IFERROR(__xludf.DUMMYFUNCTION("""COMPUTED_VALUE"""),200.0)</f>
        <v>200</v>
      </c>
      <c r="Q10" s="15">
        <f>IFERROR(__xludf.DUMMYFUNCTION("""COMPUTED_VALUE"""),200.0)</f>
        <v>200</v>
      </c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 outlineLevel="1">
      <c r="A11" s="1"/>
      <c r="B11" s="2"/>
      <c r="C11" s="24" t="s">
        <v>20</v>
      </c>
      <c r="D11" s="3"/>
      <c r="E11" s="3"/>
      <c r="F11" s="3"/>
      <c r="G11" s="3"/>
      <c r="H11" s="3"/>
      <c r="I11" s="26" t="s">
        <v>21</v>
      </c>
      <c r="J11" s="26" t="s">
        <v>21</v>
      </c>
      <c r="K11" s="26" t="s">
        <v>21</v>
      </c>
      <c r="L11" s="26" t="s">
        <v>21</v>
      </c>
      <c r="N11" s="18" t="s">
        <v>22</v>
      </c>
      <c r="O11" s="21">
        <f>IFERROR(__xludf.DUMMYFUNCTION("""COMPUTED_VALUE"""),23.0)</f>
        <v>23</v>
      </c>
      <c r="P11" s="21">
        <f>IFERROR(__xludf.DUMMYFUNCTION("""COMPUTED_VALUE"""),27.0)</f>
        <v>27</v>
      </c>
      <c r="Q11" s="21">
        <f>IFERROR(__xludf.DUMMYFUNCTION("""COMPUTED_VALUE"""),14.0)</f>
        <v>14</v>
      </c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 outlineLevel="1">
      <c r="A12" s="1"/>
      <c r="C12" s="28" t="s">
        <v>6</v>
      </c>
      <c r="D12" s="29" t="s">
        <v>10</v>
      </c>
      <c r="E12" s="29" t="s">
        <v>12</v>
      </c>
      <c r="F12" s="29" t="s">
        <v>13</v>
      </c>
      <c r="G12" s="29" t="s">
        <v>14</v>
      </c>
      <c r="H12" s="29" t="s">
        <v>15</v>
      </c>
      <c r="I12" s="29" t="s">
        <v>16</v>
      </c>
      <c r="J12" s="29" t="s">
        <v>19</v>
      </c>
      <c r="K12" s="29" t="s">
        <v>23</v>
      </c>
      <c r="L12" s="29" t="s">
        <v>24</v>
      </c>
      <c r="M12" s="3"/>
      <c r="N12" s="14" t="s">
        <v>25</v>
      </c>
      <c r="O12" s="21">
        <f>IFERROR(__xludf.DUMMYFUNCTION("""COMPUTED_VALUE"""),22.0)</f>
        <v>22</v>
      </c>
      <c r="P12" s="21">
        <f>IFERROR(__xludf.DUMMYFUNCTION("""COMPUTED_VALUE"""),18.0)</f>
        <v>18</v>
      </c>
      <c r="Q12" s="21">
        <f>IFERROR(__xludf.DUMMYFUNCTION("""COMPUTED_VALUE"""),20.0)</f>
        <v>20</v>
      </c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 outlineLevel="1">
      <c r="A13" s="1"/>
      <c r="C13" s="30" t="s">
        <v>26</v>
      </c>
      <c r="D13" s="31">
        <f t="shared" ref="D13:E13" si="2">SUM(D14:D20)</f>
        <v>11100</v>
      </c>
      <c r="E13" s="31">
        <f t="shared" si="2"/>
        <v>2565</v>
      </c>
      <c r="F13" s="32">
        <f t="shared" ref="F13:F17" si="4">IFERROR(E13/D13,0)</f>
        <v>0.2310810811</v>
      </c>
      <c r="G13" s="33">
        <f>SUM(G14:G20)</f>
        <v>33</v>
      </c>
      <c r="H13" s="31">
        <f>IFERROR(D13/G13,0)</f>
        <v>336.3636364</v>
      </c>
      <c r="I13" s="31">
        <f>IFERROR(__xludf.DUMMYFUNCTION("IFERROR(MIN(FILTER(I14:I20,I14:I20&lt;&gt;0)),0)"),400.0)</f>
        <v>400</v>
      </c>
      <c r="J13" s="31">
        <f>max(J14:J20)</f>
        <v>200</v>
      </c>
      <c r="K13" s="33">
        <f t="shared" ref="K13:L13" si="3">SUM(K14:K18)</f>
        <v>23</v>
      </c>
      <c r="L13" s="33">
        <f t="shared" si="3"/>
        <v>22</v>
      </c>
      <c r="M13" s="3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 outlineLevel="1">
      <c r="A14" s="1"/>
      <c r="C14" s="34" t="s">
        <v>27</v>
      </c>
      <c r="D14" s="35">
        <v>9000.0</v>
      </c>
      <c r="E14" s="35">
        <v>2500.0</v>
      </c>
      <c r="F14" s="36">
        <f t="shared" si="4"/>
        <v>0.2777777778</v>
      </c>
      <c r="G14" s="37">
        <v>12.0</v>
      </c>
      <c r="H14" s="38">
        <v>2000.0</v>
      </c>
      <c r="I14" s="35">
        <v>800.0</v>
      </c>
      <c r="J14" s="35">
        <v>200.0</v>
      </c>
      <c r="K14" s="37">
        <v>5.0</v>
      </c>
      <c r="L14" s="37">
        <v>4.0</v>
      </c>
      <c r="M14" s="3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 outlineLevel="1">
      <c r="A15" s="1"/>
      <c r="C15" s="34" t="s">
        <v>28</v>
      </c>
      <c r="D15" s="39">
        <v>800.0</v>
      </c>
      <c r="E15" s="39">
        <v>60.0</v>
      </c>
      <c r="F15" s="40">
        <f t="shared" si="4"/>
        <v>0.075</v>
      </c>
      <c r="G15" s="41">
        <v>5.0</v>
      </c>
      <c r="H15" s="16">
        <v>1800.0</v>
      </c>
      <c r="I15" s="39">
        <v>400.0</v>
      </c>
      <c r="J15" s="39">
        <v>50.0</v>
      </c>
      <c r="K15" s="41">
        <v>6.0</v>
      </c>
      <c r="L15" s="41">
        <v>6.0</v>
      </c>
      <c r="M15" s="3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 outlineLevel="1">
      <c r="A16" s="1"/>
      <c r="C16" s="42" t="s">
        <v>29</v>
      </c>
      <c r="D16" s="39">
        <v>800.0</v>
      </c>
      <c r="E16" s="39">
        <v>60.0</v>
      </c>
      <c r="F16" s="40">
        <f t="shared" si="4"/>
        <v>0.075</v>
      </c>
      <c r="G16" s="41">
        <v>5.0</v>
      </c>
      <c r="H16" s="16">
        <v>1800.0</v>
      </c>
      <c r="I16" s="39">
        <v>400.0</v>
      </c>
      <c r="J16" s="39">
        <v>50.0</v>
      </c>
      <c r="K16" s="41">
        <v>6.0</v>
      </c>
      <c r="L16" s="41">
        <v>6.0</v>
      </c>
      <c r="M16" s="3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 outlineLevel="1">
      <c r="A17" s="1"/>
      <c r="C17" s="34" t="s">
        <v>30</v>
      </c>
      <c r="D17" s="39">
        <v>500.0</v>
      </c>
      <c r="E17" s="39">
        <v>5.0</v>
      </c>
      <c r="F17" s="40">
        <f t="shared" si="4"/>
        <v>0.01</v>
      </c>
      <c r="G17" s="41">
        <v>5.0</v>
      </c>
      <c r="H17" s="16">
        <f>IFERROR(D17/G17,0)</f>
        <v>100</v>
      </c>
      <c r="I17" s="39">
        <v>400.0</v>
      </c>
      <c r="J17" s="39">
        <v>50.0</v>
      </c>
      <c r="K17" s="41">
        <v>6.0</v>
      </c>
      <c r="L17" s="41">
        <v>6.0</v>
      </c>
      <c r="M17" s="3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 outlineLevel="1">
      <c r="A18" s="1"/>
      <c r="C18" s="43" t="s">
        <v>31</v>
      </c>
      <c r="D18" s="44"/>
      <c r="E18" s="39">
        <v>-30.0</v>
      </c>
      <c r="F18" s="44"/>
      <c r="G18" s="41">
        <v>3.0</v>
      </c>
      <c r="H18" s="44"/>
      <c r="I18" s="44"/>
      <c r="J18" s="44"/>
      <c r="K18" s="45"/>
      <c r="L18" s="45"/>
      <c r="M18" s="3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 outlineLevel="1">
      <c r="A19" s="1"/>
      <c r="C19" s="43" t="s">
        <v>32</v>
      </c>
      <c r="D19" s="44"/>
      <c r="E19" s="39">
        <v>-20.0</v>
      </c>
      <c r="F19" s="44"/>
      <c r="G19" s="41">
        <v>2.0</v>
      </c>
      <c r="H19" s="44"/>
      <c r="I19" s="44"/>
      <c r="J19" s="44"/>
      <c r="K19" s="45"/>
      <c r="L19" s="45"/>
      <c r="M19" s="3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 outlineLevel="1">
      <c r="A20" s="1"/>
      <c r="C20" s="43" t="s">
        <v>33</v>
      </c>
      <c r="D20" s="44"/>
      <c r="E20" s="39">
        <v>-10.0</v>
      </c>
      <c r="F20" s="44"/>
      <c r="G20" s="41">
        <v>1.0</v>
      </c>
      <c r="H20" s="44"/>
      <c r="I20" s="44"/>
      <c r="J20" s="44"/>
      <c r="K20" s="45"/>
      <c r="L20" s="45"/>
      <c r="M20" s="3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 outlineLevel="1">
      <c r="A21" s="1"/>
      <c r="M21" s="3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 outlineLevel="1">
      <c r="A22" s="1"/>
      <c r="C22" s="28" t="s">
        <v>7</v>
      </c>
      <c r="D22" s="29" t="s">
        <v>10</v>
      </c>
      <c r="E22" s="29" t="s">
        <v>12</v>
      </c>
      <c r="F22" s="29" t="s">
        <v>13</v>
      </c>
      <c r="G22" s="29" t="s">
        <v>14</v>
      </c>
      <c r="H22" s="29" t="s">
        <v>15</v>
      </c>
      <c r="I22" s="29" t="s">
        <v>16</v>
      </c>
      <c r="J22" s="29" t="s">
        <v>19</v>
      </c>
      <c r="K22" s="29" t="s">
        <v>23</v>
      </c>
      <c r="L22" s="29" t="s">
        <v>24</v>
      </c>
      <c r="M22" s="3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 outlineLevel="1">
      <c r="A23" s="1"/>
      <c r="C23" s="30" t="s">
        <v>26</v>
      </c>
      <c r="D23" s="31">
        <f t="shared" ref="D23:E23" si="5">SUM(D24:D28)</f>
        <v>10100</v>
      </c>
      <c r="E23" s="31">
        <f t="shared" si="5"/>
        <v>2595</v>
      </c>
      <c r="F23" s="32">
        <f t="shared" ref="F23:F27" si="7">IFERROR(E23/D23,0)</f>
        <v>0.2569306931</v>
      </c>
      <c r="G23" s="33">
        <f>SUM(G24:G28)</f>
        <v>26</v>
      </c>
      <c r="H23" s="31">
        <f t="shared" ref="H23:H27" si="8">IFERROR(D23/G23,0)</f>
        <v>388.4615385</v>
      </c>
      <c r="I23" s="31">
        <f>IFERROR(__xludf.DUMMYFUNCTION("IFERROR(MIN(FILTER(I24:I30,I24:I30&lt;&gt;0)),0)"),400.0)</f>
        <v>400</v>
      </c>
      <c r="J23" s="31">
        <f>max(J24:J30)</f>
        <v>200</v>
      </c>
      <c r="K23" s="33">
        <f t="shared" ref="K23:L23" si="6">SUM(K24:K28)</f>
        <v>27</v>
      </c>
      <c r="L23" s="33">
        <f t="shared" si="6"/>
        <v>18</v>
      </c>
      <c r="M23" s="3"/>
      <c r="N23" s="3"/>
      <c r="O23" s="3"/>
      <c r="P23" s="3"/>
      <c r="Q23" s="3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 outlineLevel="1">
      <c r="A24" s="1"/>
      <c r="C24" s="34" t="s">
        <v>27</v>
      </c>
      <c r="D24" s="35">
        <v>8000.0</v>
      </c>
      <c r="E24" s="35">
        <v>2500.0</v>
      </c>
      <c r="F24" s="36">
        <f t="shared" si="7"/>
        <v>0.3125</v>
      </c>
      <c r="G24" s="37">
        <v>12.0</v>
      </c>
      <c r="H24" s="38">
        <f t="shared" si="8"/>
        <v>666.6666667</v>
      </c>
      <c r="I24" s="35">
        <v>800.0</v>
      </c>
      <c r="J24" s="35">
        <v>200.0</v>
      </c>
      <c r="K24" s="37">
        <v>8.0</v>
      </c>
      <c r="L24" s="37">
        <v>4.0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outlineLevel="1">
      <c r="A25" s="1"/>
      <c r="C25" s="34" t="s">
        <v>28</v>
      </c>
      <c r="D25" s="39">
        <v>800.0</v>
      </c>
      <c r="E25" s="39">
        <v>60.0</v>
      </c>
      <c r="F25" s="40">
        <f t="shared" si="7"/>
        <v>0.075</v>
      </c>
      <c r="G25" s="41">
        <v>5.0</v>
      </c>
      <c r="H25" s="16">
        <f t="shared" si="8"/>
        <v>160</v>
      </c>
      <c r="I25" s="39">
        <v>400.0</v>
      </c>
      <c r="J25" s="39">
        <v>50.0</v>
      </c>
      <c r="K25" s="41">
        <v>6.0</v>
      </c>
      <c r="L25" s="41">
        <v>6.0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outlineLevel="1">
      <c r="A26" s="1"/>
      <c r="C26" s="42" t="s">
        <v>29</v>
      </c>
      <c r="D26" s="39">
        <v>800.0</v>
      </c>
      <c r="E26" s="39">
        <v>60.0</v>
      </c>
      <c r="F26" s="40">
        <f t="shared" si="7"/>
        <v>0.075</v>
      </c>
      <c r="G26" s="41">
        <v>5.0</v>
      </c>
      <c r="H26" s="16">
        <f t="shared" si="8"/>
        <v>160</v>
      </c>
      <c r="I26" s="39">
        <v>400.0</v>
      </c>
      <c r="J26" s="39">
        <v>50.0</v>
      </c>
      <c r="K26" s="41">
        <v>6.0</v>
      </c>
      <c r="L26" s="41">
        <v>6.0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outlineLevel="1">
      <c r="A27" s="1"/>
      <c r="C27" s="34" t="s">
        <v>30</v>
      </c>
      <c r="D27" s="39">
        <v>500.0</v>
      </c>
      <c r="E27" s="39">
        <v>5.0</v>
      </c>
      <c r="F27" s="40">
        <f t="shared" si="7"/>
        <v>0.01</v>
      </c>
      <c r="G27" s="41">
        <v>1.0</v>
      </c>
      <c r="H27" s="16">
        <f t="shared" si="8"/>
        <v>500</v>
      </c>
      <c r="I27" s="39">
        <v>400.0</v>
      </c>
      <c r="J27" s="39">
        <v>50.0</v>
      </c>
      <c r="K27" s="41">
        <v>7.0</v>
      </c>
      <c r="L27" s="41">
        <v>2.0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outlineLevel="1">
      <c r="A28" s="1"/>
      <c r="C28" s="43" t="s">
        <v>31</v>
      </c>
      <c r="D28" s="44"/>
      <c r="E28" s="39">
        <v>-30.0</v>
      </c>
      <c r="F28" s="44"/>
      <c r="G28" s="41">
        <v>3.0</v>
      </c>
      <c r="H28" s="44"/>
      <c r="I28" s="44"/>
      <c r="J28" s="44"/>
      <c r="K28" s="45"/>
      <c r="L28" s="4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outlineLevel="1">
      <c r="A29" s="1"/>
      <c r="C29" s="43" t="s">
        <v>32</v>
      </c>
      <c r="D29" s="44"/>
      <c r="E29" s="39">
        <v>-20.0</v>
      </c>
      <c r="F29" s="44"/>
      <c r="G29" s="41">
        <v>2.0</v>
      </c>
      <c r="H29" s="44"/>
      <c r="I29" s="44"/>
      <c r="J29" s="44"/>
      <c r="K29" s="45"/>
      <c r="L29" s="4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outlineLevel="1">
      <c r="A30" s="1"/>
      <c r="B30" s="2"/>
      <c r="C30" s="43" t="s">
        <v>33</v>
      </c>
      <c r="D30" s="44"/>
      <c r="E30" s="39">
        <v>-10.0</v>
      </c>
      <c r="F30" s="44"/>
      <c r="G30" s="41">
        <v>1.0</v>
      </c>
      <c r="H30" s="44"/>
      <c r="I30" s="44"/>
      <c r="J30" s="44"/>
      <c r="K30" s="45"/>
      <c r="L30" s="4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outlineLevel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outlineLevel="1">
      <c r="A32" s="1"/>
      <c r="C32" s="28" t="s">
        <v>8</v>
      </c>
      <c r="D32" s="29" t="s">
        <v>10</v>
      </c>
      <c r="E32" s="29" t="s">
        <v>12</v>
      </c>
      <c r="F32" s="29" t="s">
        <v>13</v>
      </c>
      <c r="G32" s="29" t="s">
        <v>14</v>
      </c>
      <c r="H32" s="29" t="s">
        <v>15</v>
      </c>
      <c r="I32" s="29" t="s">
        <v>16</v>
      </c>
      <c r="J32" s="29" t="s">
        <v>19</v>
      </c>
      <c r="K32" s="29" t="s">
        <v>23</v>
      </c>
      <c r="L32" s="29" t="s">
        <v>24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outlineLevel="1">
      <c r="A33" s="1"/>
      <c r="C33" s="30" t="s">
        <v>26</v>
      </c>
      <c r="D33" s="31">
        <f t="shared" ref="D33:E33" si="9">SUM(D34:D38)</f>
        <v>10100</v>
      </c>
      <c r="E33" s="31">
        <f t="shared" si="9"/>
        <v>2595</v>
      </c>
      <c r="F33" s="32">
        <f t="shared" ref="F33:F37" si="11">IFERROR(E33/D33,0)</f>
        <v>0.2569306931</v>
      </c>
      <c r="G33" s="33">
        <f>SUM(G34:G38)</f>
        <v>25</v>
      </c>
      <c r="H33" s="31">
        <f t="shared" ref="H33:H37" si="12">IFERROR(D33/G33,0)</f>
        <v>404</v>
      </c>
      <c r="I33" s="31">
        <f>IFERROR(__xludf.DUMMYFUNCTION("IFERROR(MIN(FILTER(I34:I40,I34:I40&lt;&gt;0)),0)"),400.0)</f>
        <v>400</v>
      </c>
      <c r="J33" s="31">
        <f>max(J34:J40)</f>
        <v>200</v>
      </c>
      <c r="K33" s="33">
        <f t="shared" ref="K33:L33" si="10">SUM(K34:K38)</f>
        <v>14</v>
      </c>
      <c r="L33" s="33">
        <f t="shared" si="10"/>
        <v>20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outlineLevel="1">
      <c r="A34" s="1"/>
      <c r="C34" s="34" t="s">
        <v>27</v>
      </c>
      <c r="D34" s="35">
        <v>8000.0</v>
      </c>
      <c r="E34" s="35">
        <v>2500.0</v>
      </c>
      <c r="F34" s="36">
        <f t="shared" si="11"/>
        <v>0.3125</v>
      </c>
      <c r="G34" s="37">
        <v>12.0</v>
      </c>
      <c r="H34" s="38">
        <f t="shared" si="12"/>
        <v>666.6666667</v>
      </c>
      <c r="I34" s="35">
        <v>800.0</v>
      </c>
      <c r="J34" s="35">
        <v>200.0</v>
      </c>
      <c r="K34" s="37">
        <v>7.0</v>
      </c>
      <c r="L34" s="37">
        <v>7.0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outlineLevel="1">
      <c r="A35" s="1"/>
      <c r="C35" s="34" t="s">
        <v>28</v>
      </c>
      <c r="D35" s="39">
        <v>800.0</v>
      </c>
      <c r="E35" s="39">
        <v>60.0</v>
      </c>
      <c r="F35" s="40">
        <f t="shared" si="11"/>
        <v>0.075</v>
      </c>
      <c r="G35" s="41">
        <v>5.0</v>
      </c>
      <c r="H35" s="16">
        <f t="shared" si="12"/>
        <v>160</v>
      </c>
      <c r="I35" s="39">
        <v>400.0</v>
      </c>
      <c r="J35" s="39">
        <v>50.0</v>
      </c>
      <c r="K35" s="41">
        <v>2.0</v>
      </c>
      <c r="L35" s="41">
        <v>5.0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outlineLevel="1">
      <c r="A36" s="1"/>
      <c r="C36" s="42" t="s">
        <v>29</v>
      </c>
      <c r="D36" s="39">
        <v>800.0</v>
      </c>
      <c r="E36" s="39">
        <v>60.0</v>
      </c>
      <c r="F36" s="40">
        <f t="shared" si="11"/>
        <v>0.075</v>
      </c>
      <c r="G36" s="41">
        <v>5.0</v>
      </c>
      <c r="H36" s="16">
        <f t="shared" si="12"/>
        <v>160</v>
      </c>
      <c r="I36" s="39">
        <v>400.0</v>
      </c>
      <c r="J36" s="39">
        <v>50.0</v>
      </c>
      <c r="K36" s="41">
        <v>2.0</v>
      </c>
      <c r="L36" s="41">
        <v>5.0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outlineLevel="1">
      <c r="A37" s="1"/>
      <c r="C37" s="34" t="s">
        <v>30</v>
      </c>
      <c r="D37" s="39">
        <v>500.0</v>
      </c>
      <c r="E37" s="39">
        <v>5.0</v>
      </c>
      <c r="F37" s="40">
        <f t="shared" si="11"/>
        <v>0.01</v>
      </c>
      <c r="G37" s="41"/>
      <c r="H37" s="16">
        <f t="shared" si="12"/>
        <v>0</v>
      </c>
      <c r="I37" s="39">
        <v>400.0</v>
      </c>
      <c r="J37" s="39">
        <v>50.0</v>
      </c>
      <c r="K37" s="41">
        <v>3.0</v>
      </c>
      <c r="L37" s="41">
        <v>3.0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outlineLevel="1">
      <c r="A38" s="1"/>
      <c r="C38" s="43" t="s">
        <v>31</v>
      </c>
      <c r="D38" s="44"/>
      <c r="E38" s="39">
        <v>-30.0</v>
      </c>
      <c r="F38" s="44"/>
      <c r="G38" s="41">
        <v>3.0</v>
      </c>
      <c r="H38" s="44"/>
      <c r="I38" s="44"/>
      <c r="J38" s="44"/>
      <c r="K38" s="45"/>
      <c r="L38" s="4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outlineLevel="1">
      <c r="A39" s="1"/>
      <c r="C39" s="43" t="s">
        <v>32</v>
      </c>
      <c r="D39" s="44"/>
      <c r="E39" s="39">
        <v>-20.0</v>
      </c>
      <c r="F39" s="44"/>
      <c r="G39" s="41">
        <v>2.0</v>
      </c>
      <c r="H39" s="44"/>
      <c r="I39" s="44"/>
      <c r="J39" s="44"/>
      <c r="K39" s="45"/>
      <c r="L39" s="4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outlineLevel="1">
      <c r="A40" s="1"/>
      <c r="C40" s="43" t="s">
        <v>33</v>
      </c>
      <c r="D40" s="44"/>
      <c r="E40" s="39">
        <v>-10.0</v>
      </c>
      <c r="F40" s="44"/>
      <c r="G40" s="41">
        <v>1.0</v>
      </c>
      <c r="H40" s="44"/>
      <c r="I40" s="44"/>
      <c r="J40" s="44"/>
      <c r="K40" s="45"/>
      <c r="L40" s="4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outlineLevel="1">
      <c r="A41" s="1"/>
      <c r="B41" s="2"/>
      <c r="C41" s="24"/>
      <c r="D41" s="46"/>
      <c r="E41" s="46"/>
      <c r="F41" s="46"/>
      <c r="G41" s="46"/>
      <c r="H41" s="3"/>
      <c r="I41" s="23"/>
      <c r="J41" s="23"/>
      <c r="K41" s="23"/>
      <c r="L41" s="47"/>
      <c r="M41" s="23"/>
      <c r="N41" s="2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2"/>
      <c r="C42" s="24"/>
      <c r="D42" s="46"/>
      <c r="E42" s="46"/>
      <c r="F42" s="46"/>
      <c r="G42" s="46"/>
      <c r="H42" s="3"/>
      <c r="I42" s="23"/>
      <c r="J42" s="23"/>
      <c r="K42" s="23"/>
      <c r="L42" s="47"/>
      <c r="M42" s="23"/>
      <c r="N42" s="2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48" t="s">
        <v>34</v>
      </c>
      <c r="C43" s="46"/>
      <c r="D43" s="3"/>
      <c r="E43" s="46"/>
      <c r="F43" s="46"/>
      <c r="G43" s="46"/>
      <c r="H43" s="3"/>
      <c r="I43" s="23"/>
      <c r="J43" s="23"/>
      <c r="K43" s="23"/>
      <c r="L43" s="47"/>
      <c r="M43" s="23"/>
      <c r="N43" s="2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49" t="s">
        <v>35</v>
      </c>
      <c r="C44" s="46"/>
      <c r="D44" s="3"/>
      <c r="E44" s="46"/>
      <c r="F44" s="46"/>
      <c r="G44" s="46"/>
      <c r="H44" s="3"/>
      <c r="I44" s="23"/>
      <c r="J44" s="23"/>
      <c r="K44" s="23"/>
      <c r="L44" s="47"/>
      <c r="M44" s="23"/>
      <c r="N44" s="2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2"/>
      <c r="C45" s="24"/>
      <c r="D45" s="3"/>
      <c r="E45" s="3"/>
      <c r="F45" s="3"/>
      <c r="G45" s="27"/>
      <c r="H45" s="3"/>
      <c r="I45" s="23"/>
      <c r="J45" s="23"/>
      <c r="K45" s="23"/>
      <c r="L45" s="47"/>
      <c r="M45" s="23"/>
      <c r="N45" s="2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2"/>
      <c r="C46" s="50" t="str">
        <f>$D$8</f>
        <v>#REF!</v>
      </c>
      <c r="D46" s="3"/>
      <c r="E46" s="3"/>
      <c r="F46" s="3"/>
      <c r="G46" s="27" t="s">
        <v>18</v>
      </c>
      <c r="H46" s="3"/>
      <c r="I46" s="23"/>
      <c r="J46" s="23"/>
      <c r="K46" s="23"/>
      <c r="L46" s="47"/>
      <c r="M46" s="23"/>
      <c r="N46" s="2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2"/>
      <c r="C47" s="51"/>
      <c r="D47" s="52" t="s">
        <v>6</v>
      </c>
      <c r="E47" s="52" t="s">
        <v>7</v>
      </c>
      <c r="F47" s="52" t="s">
        <v>36</v>
      </c>
      <c r="G47" s="52" t="s">
        <v>37</v>
      </c>
      <c r="H47" s="3"/>
      <c r="I47" s="23"/>
      <c r="J47" s="23"/>
      <c r="K47" s="23"/>
      <c r="L47" s="47"/>
      <c r="M47" s="23"/>
      <c r="N47" s="2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2"/>
      <c r="C48" s="53"/>
      <c r="D48" s="54" t="str">
        <f>$C$8</f>
        <v>#REF!</v>
      </c>
      <c r="E48" s="54" t="str">
        <f>$D$8</f>
        <v>#REF!</v>
      </c>
      <c r="F48" s="55"/>
      <c r="G48" s="56"/>
      <c r="H48" s="3"/>
      <c r="I48" s="23"/>
      <c r="J48" s="23"/>
      <c r="K48" s="23"/>
      <c r="L48" s="47"/>
      <c r="M48" s="23"/>
      <c r="N48" s="2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1"/>
      <c r="B49" s="2"/>
      <c r="C49" s="57" t="s">
        <v>10</v>
      </c>
      <c r="D49" s="15">
        <f>IFERROR(__xludf.DUMMYFUNCTION("TRANSPOSE(BYCOL(FILTER($D$13:$G$19, $C$13:$C$19=""総額""), LAMBDA(col, SUM(col))))
"),11100.0)</f>
        <v>11100</v>
      </c>
      <c r="E49" s="16">
        <f>IFERROR(__xludf.DUMMYFUNCTION("TRANSPOSE(BYCOL(FILTER($D$23:$G$29, $C$23:$C$29=""総額""), LAMBDA(col, SUM(col))))
"),10100.0)</f>
        <v>10100</v>
      </c>
      <c r="F49" s="15">
        <f t="shared" ref="F49:F50" si="13">E49-D49</f>
        <v>-1000</v>
      </c>
      <c r="G49" s="58">
        <f t="shared" ref="G49:G50" si="14">IFERROR(F49/D49, "-")
</f>
        <v>-0.09009009009</v>
      </c>
      <c r="H49" s="3"/>
      <c r="I49" s="23"/>
      <c r="J49" s="23"/>
      <c r="K49" s="23"/>
      <c r="L49" s="47"/>
      <c r="M49" s="23"/>
      <c r="N49" s="2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1"/>
      <c r="B50" s="2"/>
      <c r="C50" s="59" t="s">
        <v>12</v>
      </c>
      <c r="D50" s="16">
        <f>IFERROR(__xludf.DUMMYFUNCTION("""COMPUTED_VALUE"""),2565.0)</f>
        <v>2565</v>
      </c>
      <c r="E50" s="16">
        <f>IFERROR(__xludf.DUMMYFUNCTION("""COMPUTED_VALUE"""),2595.0)</f>
        <v>2595</v>
      </c>
      <c r="F50" s="60">
        <f t="shared" si="13"/>
        <v>30</v>
      </c>
      <c r="G50" s="58">
        <f t="shared" si="14"/>
        <v>0.01169590643</v>
      </c>
      <c r="H50" s="3"/>
      <c r="I50" s="23"/>
      <c r="J50" s="23"/>
      <c r="K50" s="23"/>
      <c r="L50" s="47"/>
      <c r="M50" s="23"/>
      <c r="N50" s="2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1"/>
      <c r="B51" s="2"/>
      <c r="C51" s="61" t="s">
        <v>38</v>
      </c>
      <c r="D51" s="40">
        <f>IFERROR(__xludf.DUMMYFUNCTION("""COMPUTED_VALUE"""),0.23108108108108108)</f>
        <v>0.2310810811</v>
      </c>
      <c r="E51" s="40">
        <f>IFERROR(__xludf.DUMMYFUNCTION("""COMPUTED_VALUE"""),0.25693069306930694)</f>
        <v>0.2569306931</v>
      </c>
      <c r="F51" s="62"/>
      <c r="G51" s="63">
        <f>(E51-D51)*100</f>
        <v>2.584961199</v>
      </c>
      <c r="H51" s="3"/>
      <c r="I51" s="23"/>
      <c r="J51" s="23"/>
      <c r="K51" s="23"/>
      <c r="L51" s="47"/>
      <c r="M51" s="23"/>
      <c r="N51" s="2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1"/>
      <c r="B52" s="2"/>
      <c r="C52" s="61" t="s">
        <v>14</v>
      </c>
      <c r="D52" s="64">
        <f>IFERROR(__xludf.DUMMYFUNCTION("""COMPUTED_VALUE"""),33.0)</f>
        <v>33</v>
      </c>
      <c r="E52" s="64">
        <f>IFERROR(__xludf.DUMMYFUNCTION("""COMPUTED_VALUE"""),26.0)</f>
        <v>26</v>
      </c>
      <c r="F52" s="65">
        <f>E52-D52</f>
        <v>-7</v>
      </c>
      <c r="G52" s="58">
        <f>IFERROR(F52/D52, "-")
</f>
        <v>-0.2121212121</v>
      </c>
      <c r="H52" s="3"/>
      <c r="I52" s="23"/>
      <c r="J52" s="23"/>
      <c r="K52" s="23"/>
      <c r="L52" s="47"/>
      <c r="M52" s="23"/>
      <c r="N52" s="2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2"/>
      <c r="C53" s="3"/>
      <c r="D53" s="3"/>
      <c r="E53" s="3"/>
      <c r="F53" s="3"/>
      <c r="G53" s="3"/>
      <c r="H53" s="3"/>
      <c r="I53" s="23"/>
      <c r="J53" s="23"/>
      <c r="K53" s="23"/>
      <c r="L53" s="47"/>
      <c r="M53" s="23"/>
      <c r="N53" s="2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2"/>
      <c r="C54" s="24" t="s">
        <v>39</v>
      </c>
      <c r="D54" s="3"/>
      <c r="E54" s="3"/>
      <c r="F54" s="3"/>
      <c r="G54" s="3"/>
      <c r="H54" s="3"/>
      <c r="I54" s="23"/>
      <c r="J54" s="23"/>
      <c r="K54" s="23"/>
      <c r="L54" s="47"/>
      <c r="M54" s="23"/>
      <c r="N54" s="2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2"/>
      <c r="C55" s="66" t="s">
        <v>40</v>
      </c>
      <c r="D55" s="46"/>
      <c r="E55" s="46"/>
      <c r="F55" s="46"/>
      <c r="G55" s="3"/>
      <c r="H55" s="3"/>
      <c r="I55" s="23"/>
      <c r="J55" s="23"/>
      <c r="K55" s="23"/>
      <c r="L55" s="47"/>
      <c r="M55" s="23"/>
      <c r="N55" s="2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2"/>
      <c r="C56" s="66" t="s">
        <v>41</v>
      </c>
      <c r="D56" s="46"/>
      <c r="E56" s="46"/>
      <c r="F56" s="46"/>
      <c r="G56" s="3"/>
      <c r="H56" s="3"/>
      <c r="I56" s="23"/>
      <c r="J56" s="23"/>
      <c r="K56" s="23"/>
      <c r="L56" s="47"/>
      <c r="M56" s="23"/>
      <c r="N56" s="2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2"/>
      <c r="C57" s="66" t="s">
        <v>42</v>
      </c>
      <c r="D57" s="46"/>
      <c r="E57" s="46"/>
      <c r="F57" s="46"/>
      <c r="G57" s="3"/>
      <c r="H57" s="3"/>
      <c r="I57" s="23"/>
      <c r="J57" s="23"/>
      <c r="K57" s="23"/>
      <c r="L57" s="47"/>
      <c r="M57" s="23"/>
      <c r="N57" s="2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"/>
      <c r="C58" s="3"/>
      <c r="D58" s="3"/>
      <c r="E58" s="3"/>
      <c r="F58" s="3"/>
      <c r="G58" s="3"/>
      <c r="H58" s="3"/>
      <c r="I58" s="23"/>
      <c r="J58" s="23"/>
      <c r="K58" s="23"/>
      <c r="L58" s="47"/>
      <c r="M58" s="23"/>
      <c r="N58" s="2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2"/>
      <c r="C59" s="3"/>
      <c r="D59" s="3"/>
      <c r="E59" s="3"/>
      <c r="F59" s="3"/>
      <c r="G59" s="3"/>
      <c r="H59" s="3"/>
      <c r="I59" s="23"/>
      <c r="J59" s="23"/>
      <c r="K59" s="23"/>
      <c r="L59" s="47"/>
      <c r="M59" s="23"/>
      <c r="N59" s="2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2"/>
      <c r="C60" s="3"/>
      <c r="D60" s="3"/>
      <c r="E60" s="3"/>
      <c r="F60" s="3"/>
      <c r="G60" s="3"/>
      <c r="H60" s="3"/>
      <c r="I60" s="23"/>
      <c r="J60" s="23"/>
      <c r="K60" s="23"/>
      <c r="L60" s="47"/>
      <c r="M60" s="23"/>
      <c r="N60" s="2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2"/>
      <c r="C61" s="3"/>
      <c r="D61" s="3"/>
      <c r="E61" s="3"/>
      <c r="F61" s="3"/>
      <c r="G61" s="3"/>
      <c r="H61" s="3"/>
      <c r="I61" s="23"/>
      <c r="J61" s="23"/>
      <c r="K61" s="23"/>
      <c r="L61" s="47"/>
      <c r="M61" s="23"/>
      <c r="N61" s="2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2"/>
      <c r="C62" s="67" t="str">
        <f>$E$8</f>
        <v>#REF!</v>
      </c>
      <c r="E62" s="3"/>
      <c r="F62" s="3"/>
      <c r="G62" s="27" t="s">
        <v>18</v>
      </c>
      <c r="H62" s="3"/>
      <c r="I62" s="23"/>
      <c r="J62" s="23"/>
      <c r="K62" s="23"/>
      <c r="L62" s="47"/>
      <c r="M62" s="23"/>
      <c r="N62" s="2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2"/>
      <c r="C63" s="51"/>
      <c r="D63" s="52" t="s">
        <v>6</v>
      </c>
      <c r="E63" s="52" t="s">
        <v>7</v>
      </c>
      <c r="F63" s="52" t="s">
        <v>8</v>
      </c>
      <c r="G63" s="52"/>
      <c r="H63" s="3"/>
      <c r="I63" s="23"/>
      <c r="J63" s="23"/>
      <c r="K63" s="23"/>
      <c r="L63" s="47"/>
      <c r="M63" s="23"/>
      <c r="N63" s="2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2"/>
      <c r="C64" s="53"/>
      <c r="D64" s="54" t="str">
        <f>$C$8</f>
        <v>#REF!</v>
      </c>
      <c r="E64" s="54" t="str">
        <f>$D$8</f>
        <v>#REF!</v>
      </c>
      <c r="F64" s="54" t="str">
        <f>$E$8</f>
        <v>#REF!</v>
      </c>
      <c r="G64" s="54" t="str">
        <f>EOMONTH(F64,1)</f>
        <v>#REF!</v>
      </c>
      <c r="H64" s="3"/>
      <c r="I64" s="23"/>
      <c r="J64" s="23"/>
      <c r="K64" s="23"/>
      <c r="L64" s="47"/>
      <c r="M64" s="23"/>
      <c r="N64" s="2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1"/>
      <c r="B65" s="2"/>
      <c r="C65" s="57" t="s">
        <v>10</v>
      </c>
      <c r="D65" s="15">
        <f>IFERROR(__xludf.DUMMYFUNCTION("TRANSPOSE(BYCOL(FILTER($D$13:$G$19, $C$13:$C$19=""総額""), LAMBDA(col, SUM(col))))
"),11100.0)</f>
        <v>11100</v>
      </c>
      <c r="E65" s="16">
        <f>IFERROR(__xludf.DUMMYFUNCTION("TRANSPOSE(BYCOL(FILTER($D$23:$G$29, $C$23:$C$29=""総額""), LAMBDA(col, SUM(col))))
"),10100.0)</f>
        <v>10100</v>
      </c>
      <c r="F65" s="15">
        <f>IFERROR(__xludf.DUMMYFUNCTION("TRANSPOSE(BYCOL(FILTER($D$32:$G$38, $C$32:$C$38=""総額""), LAMBDA(col, SUM(col))))
"),10100.0)</f>
        <v>10100</v>
      </c>
      <c r="G65" s="35">
        <v>10000.0</v>
      </c>
      <c r="H65" s="3"/>
      <c r="I65" s="23"/>
      <c r="J65" s="23"/>
      <c r="K65" s="23"/>
      <c r="L65" s="47"/>
      <c r="M65" s="23"/>
      <c r="N65" s="2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1"/>
      <c r="B66" s="2"/>
      <c r="C66" s="59" t="s">
        <v>12</v>
      </c>
      <c r="D66" s="38">
        <f>IFERROR(__xludf.DUMMYFUNCTION("""COMPUTED_VALUE"""),2565.0)</f>
        <v>2565</v>
      </c>
      <c r="E66" s="38">
        <f>IFERROR(__xludf.DUMMYFUNCTION("""COMPUTED_VALUE"""),2595.0)</f>
        <v>2595</v>
      </c>
      <c r="F66" s="68">
        <f>IFERROR(__xludf.DUMMYFUNCTION("""COMPUTED_VALUE"""),2595.0)</f>
        <v>2595</v>
      </c>
      <c r="G66" s="39">
        <v>300.0</v>
      </c>
      <c r="H66" s="3"/>
      <c r="I66" s="23"/>
      <c r="J66" s="23"/>
      <c r="K66" s="23"/>
      <c r="L66" s="47"/>
      <c r="M66" s="23"/>
      <c r="N66" s="2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1"/>
      <c r="B67" s="2"/>
      <c r="C67" s="61" t="s">
        <v>13</v>
      </c>
      <c r="D67" s="40">
        <f>IFERROR(__xludf.DUMMYFUNCTION("""COMPUTED_VALUE"""),0.23108108108108108)</f>
        <v>0.2310810811</v>
      </c>
      <c r="E67" s="40">
        <f>IFERROR(__xludf.DUMMYFUNCTION("""COMPUTED_VALUE"""),0.25693069306930694)</f>
        <v>0.2569306931</v>
      </c>
      <c r="F67" s="40">
        <f>IFERROR(__xludf.DUMMYFUNCTION("""COMPUTED_VALUE"""),0.25693069306930694)</f>
        <v>0.2569306931</v>
      </c>
      <c r="G67" s="40">
        <f>IFERROR(G66/G65,0)</f>
        <v>0.03</v>
      </c>
      <c r="H67" s="3"/>
      <c r="I67" s="23"/>
      <c r="J67" s="23"/>
      <c r="K67" s="23"/>
      <c r="L67" s="47"/>
      <c r="M67" s="23"/>
      <c r="N67" s="2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1"/>
      <c r="B68" s="2"/>
      <c r="C68" s="61" t="s">
        <v>14</v>
      </c>
      <c r="D68" s="64">
        <f>IFERROR(__xludf.DUMMYFUNCTION("""COMPUTED_VALUE"""),33.0)</f>
        <v>33</v>
      </c>
      <c r="E68" s="64">
        <f>IFERROR(__xludf.DUMMYFUNCTION("""COMPUTED_VALUE"""),26.0)</f>
        <v>26</v>
      </c>
      <c r="F68" s="69">
        <f>IFERROR(__xludf.DUMMYFUNCTION("""COMPUTED_VALUE"""),25.0)</f>
        <v>25</v>
      </c>
      <c r="G68" s="58">
        <f>IFERROR(F68/D68, "-")
</f>
        <v>0.7575757576</v>
      </c>
      <c r="H68" s="3"/>
      <c r="I68" s="23"/>
      <c r="J68" s="23"/>
      <c r="K68" s="23"/>
      <c r="L68" s="47"/>
      <c r="M68" s="23"/>
      <c r="N68" s="2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2"/>
      <c r="C69" s="24"/>
      <c r="D69" s="3"/>
      <c r="E69" s="3"/>
      <c r="F69" s="3"/>
      <c r="G69" s="3"/>
      <c r="H69" s="3"/>
      <c r="I69" s="23"/>
      <c r="J69" s="23"/>
      <c r="K69" s="23"/>
      <c r="L69" s="47"/>
      <c r="M69" s="23"/>
      <c r="N69" s="2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2"/>
      <c r="C70" s="24" t="s">
        <v>39</v>
      </c>
      <c r="D70" s="3"/>
      <c r="E70" s="3"/>
      <c r="F70" s="3"/>
      <c r="G70" s="3"/>
      <c r="H70" s="3"/>
      <c r="I70" s="23"/>
      <c r="J70" s="23"/>
      <c r="K70" s="23"/>
      <c r="L70" s="47"/>
      <c r="M70" s="23"/>
      <c r="N70" s="2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2"/>
      <c r="C71" s="66" t="s">
        <v>43</v>
      </c>
      <c r="D71" s="46"/>
      <c r="E71" s="46"/>
      <c r="F71" s="46"/>
      <c r="G71" s="46"/>
      <c r="H71" s="46"/>
      <c r="I71" s="23"/>
      <c r="J71" s="23"/>
      <c r="K71" s="23"/>
      <c r="L71" s="47"/>
      <c r="M71" s="23"/>
      <c r="N71" s="2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2"/>
      <c r="C72" s="66" t="s">
        <v>44</v>
      </c>
      <c r="D72" s="46"/>
      <c r="E72" s="46"/>
      <c r="F72" s="46"/>
      <c r="G72" s="46"/>
      <c r="H72" s="46"/>
      <c r="I72" s="23"/>
      <c r="J72" s="23"/>
      <c r="K72" s="23"/>
      <c r="L72" s="47"/>
      <c r="M72" s="23"/>
      <c r="N72" s="2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2"/>
      <c r="C73" s="66" t="s">
        <v>45</v>
      </c>
      <c r="D73" s="46"/>
      <c r="E73" s="46"/>
      <c r="F73" s="46"/>
      <c r="G73" s="46"/>
      <c r="H73" s="46"/>
      <c r="I73" s="23"/>
      <c r="J73" s="23"/>
      <c r="K73" s="23"/>
      <c r="L73" s="47"/>
      <c r="M73" s="23"/>
      <c r="N73" s="2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2"/>
      <c r="C74" s="66" t="s">
        <v>46</v>
      </c>
      <c r="D74" s="46"/>
      <c r="E74" s="46"/>
      <c r="F74" s="46"/>
      <c r="G74" s="46"/>
      <c r="H74" s="46"/>
      <c r="I74" s="23"/>
      <c r="J74" s="23"/>
      <c r="K74" s="23"/>
      <c r="L74" s="47"/>
      <c r="M74" s="23"/>
      <c r="N74" s="2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2"/>
      <c r="C75" s="66" t="s">
        <v>47</v>
      </c>
      <c r="D75" s="46"/>
      <c r="E75" s="46"/>
      <c r="F75" s="46"/>
      <c r="G75" s="46"/>
      <c r="H75" s="46"/>
      <c r="I75" s="23"/>
      <c r="J75" s="23"/>
      <c r="K75" s="23"/>
      <c r="L75" s="47"/>
      <c r="M75" s="23"/>
      <c r="N75" s="2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2"/>
      <c r="C76" s="3"/>
      <c r="D76" s="3"/>
      <c r="E76" s="3"/>
      <c r="F76" s="3"/>
      <c r="G76" s="3"/>
      <c r="H76" s="3"/>
      <c r="I76" s="23"/>
      <c r="J76" s="23"/>
      <c r="K76" s="23"/>
      <c r="L76" s="47"/>
      <c r="M76" s="23"/>
      <c r="N76" s="2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2"/>
      <c r="C77" s="3"/>
      <c r="D77" s="3"/>
      <c r="E77" s="3"/>
      <c r="F77" s="3"/>
      <c r="G77" s="27"/>
      <c r="H77" s="3"/>
      <c r="I77" s="23"/>
      <c r="J77" s="23"/>
      <c r="K77" s="23"/>
      <c r="L77" s="47"/>
      <c r="M77" s="23"/>
      <c r="N77" s="2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48" t="s">
        <v>48</v>
      </c>
      <c r="C78" s="3"/>
      <c r="D78" s="3"/>
      <c r="E78" s="3"/>
      <c r="F78" s="3"/>
      <c r="G78" s="3"/>
      <c r="H78" s="3"/>
      <c r="I78" s="23"/>
      <c r="J78" s="23"/>
      <c r="K78" s="23"/>
      <c r="L78" s="47"/>
      <c r="M78" s="23"/>
      <c r="N78" s="2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70" t="s">
        <v>49</v>
      </c>
      <c r="C79" s="3"/>
      <c r="D79" s="3"/>
      <c r="E79" s="3"/>
      <c r="F79" s="3"/>
      <c r="G79" s="3"/>
      <c r="H79" s="3"/>
      <c r="I79" s="23"/>
      <c r="J79" s="23"/>
      <c r="K79" s="23"/>
      <c r="L79" s="47"/>
      <c r="M79" s="23"/>
      <c r="N79" s="2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2"/>
      <c r="C80" s="3"/>
      <c r="D80" s="3"/>
      <c r="E80" s="3"/>
      <c r="F80" s="3"/>
      <c r="G80" s="3"/>
      <c r="H80" s="3"/>
      <c r="I80" s="23"/>
      <c r="J80" s="23"/>
      <c r="K80" s="23"/>
      <c r="L80" s="47"/>
      <c r="M80" s="23"/>
      <c r="N80" s="2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2"/>
      <c r="C81" s="3" t="s">
        <v>50</v>
      </c>
      <c r="D81" s="3"/>
      <c r="E81" s="3"/>
      <c r="F81" s="3"/>
      <c r="G81" s="3"/>
      <c r="H81" s="3"/>
      <c r="I81" s="23"/>
      <c r="J81" s="23"/>
      <c r="K81" s="23"/>
      <c r="L81" s="47"/>
      <c r="M81" s="23"/>
      <c r="N81" s="2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2"/>
      <c r="C82" s="3" t="s">
        <v>51</v>
      </c>
      <c r="D82" s="3"/>
      <c r="E82" s="3"/>
      <c r="F82" s="3"/>
      <c r="G82" s="3" t="s">
        <v>52</v>
      </c>
      <c r="H82" s="3"/>
      <c r="I82" s="23"/>
      <c r="J82" s="23"/>
      <c r="K82" s="23"/>
      <c r="L82" s="47"/>
      <c r="M82" s="23"/>
      <c r="N82" s="2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2"/>
      <c r="C83" s="3" t="s">
        <v>53</v>
      </c>
      <c r="D83" s="3"/>
      <c r="E83" s="3"/>
      <c r="F83" s="3"/>
      <c r="G83" s="3" t="s">
        <v>54</v>
      </c>
      <c r="H83" s="3"/>
      <c r="I83" s="23"/>
      <c r="J83" s="23"/>
      <c r="K83" s="23"/>
      <c r="L83" s="47"/>
      <c r="M83" s="23"/>
      <c r="N83" s="2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2"/>
      <c r="C84" s="3" t="s">
        <v>55</v>
      </c>
      <c r="D84" s="3"/>
      <c r="E84" s="3"/>
      <c r="F84" s="3"/>
      <c r="G84" s="3" t="s">
        <v>56</v>
      </c>
      <c r="H84" s="3"/>
      <c r="I84" s="23"/>
      <c r="J84" s="23"/>
      <c r="K84" s="23"/>
      <c r="L84" s="47"/>
      <c r="M84" s="23"/>
      <c r="N84" s="2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2"/>
      <c r="C85" s="3" t="s">
        <v>57</v>
      </c>
      <c r="D85" s="3"/>
      <c r="E85" s="3"/>
      <c r="F85" s="3"/>
      <c r="G85" s="3" t="s">
        <v>58</v>
      </c>
      <c r="H85" s="3"/>
      <c r="I85" s="23"/>
      <c r="J85" s="23"/>
      <c r="K85" s="23"/>
      <c r="L85" s="47"/>
      <c r="M85" s="23"/>
      <c r="N85" s="2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2"/>
      <c r="C86" s="3" t="s">
        <v>59</v>
      </c>
      <c r="D86" s="3"/>
      <c r="E86" s="3"/>
      <c r="F86" s="3"/>
      <c r="G86" s="3" t="s">
        <v>60</v>
      </c>
      <c r="H86" s="3"/>
      <c r="I86" s="23"/>
      <c r="J86" s="23"/>
      <c r="K86" s="23"/>
      <c r="L86" s="47"/>
      <c r="M86" s="23"/>
      <c r="N86" s="2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2"/>
      <c r="C87" s="3" t="s">
        <v>61</v>
      </c>
      <c r="D87" s="3"/>
      <c r="E87" s="3"/>
      <c r="F87" s="3"/>
      <c r="G87" s="3" t="s">
        <v>62</v>
      </c>
      <c r="H87" s="3"/>
      <c r="I87" s="23"/>
      <c r="J87" s="23"/>
      <c r="K87" s="23"/>
      <c r="L87" s="47"/>
      <c r="M87" s="23"/>
      <c r="N87" s="2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2"/>
      <c r="C88" s="3" t="s">
        <v>63</v>
      </c>
      <c r="D88" s="3"/>
      <c r="E88" s="3"/>
      <c r="F88" s="3"/>
      <c r="G88" s="3" t="s">
        <v>64</v>
      </c>
      <c r="H88" s="3"/>
      <c r="I88" s="23"/>
      <c r="J88" s="23"/>
      <c r="K88" s="23"/>
      <c r="L88" s="47"/>
      <c r="M88" s="23"/>
      <c r="N88" s="2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2"/>
      <c r="C89" s="3" t="s">
        <v>65</v>
      </c>
      <c r="D89" s="3"/>
      <c r="E89" s="3"/>
      <c r="F89" s="3"/>
      <c r="G89" s="3" t="s">
        <v>66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48" t="s">
        <v>67</v>
      </c>
      <c r="C93" s="3"/>
      <c r="D93" s="3"/>
      <c r="E93" s="3"/>
      <c r="F93" s="3"/>
      <c r="G93" s="3"/>
      <c r="H93" s="3"/>
      <c r="I93" s="23"/>
      <c r="J93" s="23"/>
      <c r="K93" s="23"/>
      <c r="L93" s="47"/>
      <c r="M93" s="23"/>
      <c r="N93" s="2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70" t="s">
        <v>68</v>
      </c>
      <c r="C94" s="3"/>
      <c r="D94" s="3"/>
      <c r="E94" s="3"/>
      <c r="F94" s="3"/>
      <c r="G94" s="3"/>
      <c r="H94" s="3"/>
      <c r="I94" s="23"/>
      <c r="J94" s="23"/>
      <c r="K94" s="23"/>
      <c r="L94" s="47"/>
      <c r="M94" s="23"/>
      <c r="N94" s="2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2"/>
      <c r="C96" s="24" t="s">
        <v>69</v>
      </c>
      <c r="D96" s="3"/>
      <c r="E96" s="3"/>
      <c r="F96" s="2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2"/>
      <c r="C97" s="61"/>
      <c r="D97" s="20" t="s">
        <v>6</v>
      </c>
      <c r="E97" s="20" t="s">
        <v>7</v>
      </c>
      <c r="F97" s="20" t="s">
        <v>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2"/>
      <c r="C98" s="71" t="s">
        <v>70</v>
      </c>
      <c r="D98" s="72">
        <v>5.0</v>
      </c>
      <c r="E98" s="72">
        <v>5.0</v>
      </c>
      <c r="F98" s="72">
        <v>5.0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2"/>
      <c r="C99" s="71" t="s">
        <v>71</v>
      </c>
      <c r="D99" s="72">
        <v>3.0</v>
      </c>
      <c r="E99" s="72">
        <v>3.0</v>
      </c>
      <c r="F99" s="72">
        <v>3.0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2"/>
      <c r="C100" s="2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2"/>
      <c r="C101" s="24" t="s">
        <v>72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2"/>
      <c r="C102" s="73"/>
      <c r="D102" s="20" t="s">
        <v>6</v>
      </c>
      <c r="E102" s="20" t="s">
        <v>7</v>
      </c>
      <c r="F102" s="20" t="s">
        <v>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5.5" customHeight="1">
      <c r="A103" s="74" t="s">
        <v>73</v>
      </c>
      <c r="B103" s="2"/>
      <c r="C103" s="73" t="s">
        <v>74</v>
      </c>
      <c r="D103" s="75">
        <v>15.0</v>
      </c>
      <c r="E103" s="75">
        <v>24.0</v>
      </c>
      <c r="F103" s="75">
        <v>18.0</v>
      </c>
      <c r="G103" s="25" t="s">
        <v>75</v>
      </c>
      <c r="H103" s="2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3.25" customHeight="1">
      <c r="A104" s="74" t="s">
        <v>73</v>
      </c>
      <c r="B104" s="2"/>
      <c r="C104" s="73" t="s">
        <v>76</v>
      </c>
      <c r="D104" s="76">
        <f t="shared" ref="D104:F104" si="15">IFERROR(D103/D68,0)</f>
        <v>0.4545454545</v>
      </c>
      <c r="E104" s="76">
        <f t="shared" si="15"/>
        <v>0.9230769231</v>
      </c>
      <c r="F104" s="76">
        <f t="shared" si="15"/>
        <v>0.72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2"/>
      <c r="C105" s="2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2"/>
      <c r="C106" s="24" t="s">
        <v>39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4"/>
      <c r="B107" s="2"/>
      <c r="C107" s="66" t="s">
        <v>77</v>
      </c>
      <c r="D107" s="66" t="s">
        <v>78</v>
      </c>
      <c r="E107" s="66" t="s">
        <v>79</v>
      </c>
      <c r="F107" s="46"/>
      <c r="G107" s="46"/>
      <c r="H107" s="46"/>
      <c r="I107" s="4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4"/>
      <c r="B108" s="2"/>
      <c r="C108" s="46"/>
      <c r="D108" s="46"/>
      <c r="E108" s="46"/>
      <c r="F108" s="46"/>
      <c r="G108" s="46"/>
      <c r="H108" s="46"/>
      <c r="I108" s="4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4"/>
      <c r="B109" s="2"/>
      <c r="C109" s="66" t="s">
        <v>80</v>
      </c>
      <c r="D109" s="66" t="s">
        <v>81</v>
      </c>
      <c r="E109" s="66" t="s">
        <v>82</v>
      </c>
      <c r="F109" s="46"/>
      <c r="G109" s="46"/>
      <c r="H109" s="46"/>
      <c r="I109" s="4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4"/>
      <c r="B110" s="2"/>
      <c r="C110" s="46"/>
      <c r="D110" s="46"/>
      <c r="E110" s="66" t="s">
        <v>83</v>
      </c>
      <c r="F110" s="46"/>
      <c r="G110" s="46"/>
      <c r="H110" s="46"/>
      <c r="I110" s="4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4"/>
      <c r="B111" s="2"/>
      <c r="C111" s="46"/>
      <c r="D111" s="46"/>
      <c r="E111" s="46"/>
      <c r="F111" s="46"/>
      <c r="G111" s="46"/>
      <c r="H111" s="46"/>
      <c r="I111" s="4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4"/>
      <c r="B112" s="2"/>
      <c r="C112" s="46" t="s">
        <v>84</v>
      </c>
      <c r="D112" s="66" t="s">
        <v>85</v>
      </c>
      <c r="E112" s="46"/>
      <c r="F112" s="46"/>
      <c r="G112" s="46"/>
      <c r="H112" s="46"/>
      <c r="I112" s="4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4"/>
      <c r="B113" s="2"/>
      <c r="C113" s="46" t="s">
        <v>86</v>
      </c>
      <c r="D113" s="46"/>
      <c r="E113" s="46"/>
      <c r="F113" s="46"/>
      <c r="G113" s="46"/>
      <c r="H113" s="46"/>
      <c r="I113" s="4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2"/>
      <c r="C114" s="2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4"/>
      <c r="B115" s="2"/>
      <c r="C115" s="46" t="s">
        <v>87</v>
      </c>
      <c r="D115" s="46"/>
      <c r="E115" s="46"/>
      <c r="F115" s="46"/>
      <c r="G115" s="46"/>
      <c r="H115" s="46"/>
      <c r="I115" s="4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2"/>
      <c r="C117" s="24"/>
      <c r="D117" s="3"/>
      <c r="E117" s="3"/>
      <c r="F117" s="27"/>
      <c r="G117" s="2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48" t="s">
        <v>88</v>
      </c>
      <c r="C118" s="3"/>
      <c r="D118" s="3"/>
      <c r="E118" s="3"/>
      <c r="F118" s="3"/>
      <c r="G118" s="3"/>
      <c r="H118" s="3"/>
      <c r="I118" s="3"/>
      <c r="J118" s="23"/>
      <c r="K118" s="23"/>
      <c r="L118" s="23"/>
      <c r="M118" s="47"/>
      <c r="N118" s="23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70" t="s">
        <v>89</v>
      </c>
      <c r="C119" s="3"/>
      <c r="D119" s="3"/>
      <c r="E119" s="3"/>
      <c r="F119" s="3"/>
      <c r="G119" s="3"/>
      <c r="H119" s="3"/>
      <c r="I119" s="3"/>
      <c r="J119" s="23"/>
      <c r="K119" s="23"/>
      <c r="L119" s="23"/>
      <c r="M119" s="47"/>
      <c r="N119" s="23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2"/>
      <c r="C121" s="24" t="s">
        <v>90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2"/>
      <c r="C122" s="73"/>
      <c r="D122" s="20" t="s">
        <v>6</v>
      </c>
      <c r="E122" s="20" t="s">
        <v>7</v>
      </c>
      <c r="F122" s="20" t="s">
        <v>8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4" t="s">
        <v>73</v>
      </c>
      <c r="B123" s="2"/>
      <c r="C123" s="61" t="s">
        <v>91</v>
      </c>
      <c r="D123" s="72">
        <v>45.0</v>
      </c>
      <c r="E123" s="72">
        <v>45.0</v>
      </c>
      <c r="F123" s="72">
        <v>45.0</v>
      </c>
      <c r="G123" s="3"/>
      <c r="H123" s="2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4" t="s">
        <v>73</v>
      </c>
      <c r="B124" s="2"/>
      <c r="C124" s="61" t="s">
        <v>92</v>
      </c>
      <c r="D124" s="72">
        <v>0.0</v>
      </c>
      <c r="E124" s="72">
        <v>0.0</v>
      </c>
      <c r="F124" s="72">
        <v>0.0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4" t="s">
        <v>73</v>
      </c>
      <c r="B125" s="2"/>
      <c r="C125" s="61" t="s">
        <v>93</v>
      </c>
      <c r="D125" s="77">
        <f t="shared" ref="D125:F125" si="16">IFERROR(D65/D123,0)</f>
        <v>246.6666667</v>
      </c>
      <c r="E125" s="77">
        <f t="shared" si="16"/>
        <v>224.4444444</v>
      </c>
      <c r="F125" s="77">
        <f t="shared" si="16"/>
        <v>224.4444444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1"/>
      <c r="B127" s="2"/>
      <c r="C127" s="24" t="s">
        <v>39</v>
      </c>
      <c r="D127" s="46"/>
      <c r="E127" s="46"/>
      <c r="F127" s="4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2"/>
      <c r="C128" s="66" t="s">
        <v>94</v>
      </c>
      <c r="D128" s="3"/>
      <c r="E128" s="3"/>
      <c r="F128" s="4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2"/>
      <c r="C129" s="66"/>
      <c r="D129" s="3"/>
      <c r="E129" s="3"/>
      <c r="F129" s="4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2"/>
      <c r="C130" s="66" t="s">
        <v>95</v>
      </c>
      <c r="D130" s="3"/>
      <c r="E130" s="3"/>
      <c r="F130" s="4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2"/>
      <c r="C131" s="66" t="s">
        <v>96</v>
      </c>
      <c r="D131" s="3"/>
      <c r="E131" s="3"/>
      <c r="F131" s="4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2"/>
      <c r="C133" s="6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62:D62"/>
  </mergeCells>
  <dataValidations>
    <dataValidation type="list" allowBlank="1" showErrorMessage="1" sqref="D2">
      <formula1>"EYE,CGD,CLF,IDJ,OBS,GLT,AGL,YTS,ECO,SKC"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5.38"/>
    <col customWidth="1" min="3" max="3" width="20.0"/>
    <col customWidth="1" min="4" max="12" width="12.88"/>
    <col customWidth="1" min="13" max="13" width="9.38"/>
    <col customWidth="1" hidden="1" min="14" max="14" width="22.75" outlineLevel="1"/>
    <col customWidth="1" hidden="1" min="15" max="17" width="7.63" outlineLevel="1"/>
    <col customWidth="1" min="18" max="26" width="7.63"/>
  </cols>
  <sheetData>
    <row r="1" ht="15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2"/>
      <c r="C2" s="4" t="s">
        <v>0</v>
      </c>
      <c r="D2" s="78" t="s">
        <v>97</v>
      </c>
      <c r="E2" s="3"/>
      <c r="F2" s="6" t="s">
        <v>2</v>
      </c>
      <c r="G2" s="7"/>
      <c r="H2" s="8"/>
      <c r="I2" s="3"/>
      <c r="J2" s="3"/>
      <c r="K2" s="3"/>
      <c r="L2" s="3"/>
      <c r="M2" s="3"/>
      <c r="N2" s="9" t="s">
        <v>3</v>
      </c>
      <c r="O2" s="10"/>
      <c r="P2" s="10"/>
      <c r="Q2" s="10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2"/>
      <c r="C3" s="4" t="s">
        <v>4</v>
      </c>
      <c r="D3" s="11" t="s">
        <v>5</v>
      </c>
      <c r="E3" s="3"/>
      <c r="F3" s="3"/>
      <c r="G3" s="3"/>
      <c r="H3" s="3"/>
      <c r="I3" s="3"/>
      <c r="J3" s="3"/>
      <c r="K3" s="3"/>
      <c r="L3" s="3"/>
      <c r="M3" s="3"/>
      <c r="N3" s="12"/>
      <c r="O3" s="13" t="s">
        <v>6</v>
      </c>
      <c r="P3" s="13" t="s">
        <v>7</v>
      </c>
      <c r="Q3" s="13" t="s">
        <v>8</v>
      </c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2"/>
      <c r="C4" s="4" t="s">
        <v>9</v>
      </c>
      <c r="D4" s="11"/>
      <c r="E4" s="3"/>
      <c r="F4" s="3"/>
      <c r="G4" s="3"/>
      <c r="H4" s="3"/>
      <c r="I4" s="3"/>
      <c r="J4" s="3"/>
      <c r="K4" s="3"/>
      <c r="L4" s="3"/>
      <c r="M4" s="3"/>
      <c r="N4" s="14" t="s">
        <v>10</v>
      </c>
      <c r="O4" s="15">
        <f>IFERROR(__xludf.DUMMYFUNCTION("TRANSPOSE(BYCOL(FILTER($D$13:$L$19, $C$13:$C$19=""総額""), LAMBDA(col, SUM(col))))
"),11100.0)</f>
        <v>11100</v>
      </c>
      <c r="P4" s="16">
        <f>IFERROR(__xludf.DUMMYFUNCTION("TRANSPOSE(BYCOL(FILTER($D$23:$L$29, $C$23:$C$29=""総額""), LAMBDA(col, SUM(col))))
"),10100.0)</f>
        <v>10100</v>
      </c>
      <c r="Q4" s="15">
        <f>IFERROR(__xludf.DUMMYFUNCTION("TRANSPOSE(BYCOL(FILTER($D$32:$L$38, $C$32:$C$38=""総額""), LAMBDA(col, SUM(col))))
"),10100.0)</f>
        <v>10100</v>
      </c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2"/>
      <c r="C5" s="4" t="s">
        <v>11</v>
      </c>
      <c r="D5" s="17" t="str">
        <f>'シート1'!C2</f>
        <v>#REF!</v>
      </c>
      <c r="E5" s="3"/>
      <c r="F5" s="3"/>
      <c r="G5" s="3"/>
      <c r="H5" s="3"/>
      <c r="I5" s="3"/>
      <c r="J5" s="3"/>
      <c r="K5" s="3"/>
      <c r="L5" s="3"/>
      <c r="M5" s="3"/>
      <c r="N5" s="18" t="s">
        <v>12</v>
      </c>
      <c r="O5" s="15">
        <f>IFERROR(__xludf.DUMMYFUNCTION("""COMPUTED_VALUE"""),2565.0)</f>
        <v>2565</v>
      </c>
      <c r="P5" s="15">
        <f>IFERROR(__xludf.DUMMYFUNCTION("""COMPUTED_VALUE"""),2595.0)</f>
        <v>2595</v>
      </c>
      <c r="Q5" s="15">
        <f>IFERROR(__xludf.DUMMYFUNCTION("""COMPUTED_VALUE"""),2595.0)</f>
        <v>2595</v>
      </c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4" t="s">
        <v>13</v>
      </c>
      <c r="O6" s="19">
        <f>IFERROR(__xludf.DUMMYFUNCTION("""COMPUTED_VALUE"""),0.23108108108108108)</f>
        <v>0.2310810811</v>
      </c>
      <c r="P6" s="19">
        <f>IFERROR(__xludf.DUMMYFUNCTION("""COMPUTED_VALUE"""),0.25693069306930694)</f>
        <v>0.2569306931</v>
      </c>
      <c r="Q6" s="19">
        <f>IFERROR(__xludf.DUMMYFUNCTION("""COMPUTED_VALUE"""),0.25693069306930694)</f>
        <v>0.2569306931</v>
      </c>
      <c r="R6" s="3"/>
      <c r="S6" s="3"/>
      <c r="T6" s="3"/>
      <c r="U6" s="3"/>
      <c r="V6" s="3"/>
      <c r="W6" s="3"/>
      <c r="X6" s="3"/>
      <c r="Y6" s="3"/>
      <c r="Z6" s="3"/>
    </row>
    <row r="7" ht="15.75" customHeight="1" outlineLevel="1">
      <c r="A7" s="1"/>
      <c r="B7" s="2"/>
      <c r="C7" s="20" t="s">
        <v>6</v>
      </c>
      <c r="D7" s="20" t="s">
        <v>7</v>
      </c>
      <c r="E7" s="20" t="s">
        <v>8</v>
      </c>
      <c r="F7" s="3"/>
      <c r="G7" s="3"/>
      <c r="H7" s="3"/>
      <c r="I7" s="3"/>
      <c r="J7" s="3"/>
      <c r="K7" s="3"/>
      <c r="L7" s="3"/>
      <c r="M7" s="3"/>
      <c r="N7" s="18" t="s">
        <v>14</v>
      </c>
      <c r="O7" s="21">
        <f>IFERROR(__xludf.DUMMYFUNCTION("""COMPUTED_VALUE"""),33.0)</f>
        <v>33</v>
      </c>
      <c r="P7" s="21">
        <f>IFERROR(__xludf.DUMMYFUNCTION("""COMPUTED_VALUE"""),26.0)</f>
        <v>26</v>
      </c>
      <c r="Q7" s="21">
        <f>IFERROR(__xludf.DUMMYFUNCTION("""COMPUTED_VALUE"""),25.0)</f>
        <v>25</v>
      </c>
      <c r="R7" s="3"/>
      <c r="S7" s="3"/>
      <c r="T7" s="3"/>
      <c r="U7" s="3"/>
      <c r="V7" s="3"/>
      <c r="W7" s="3"/>
      <c r="X7" s="3"/>
      <c r="Y7" s="3"/>
      <c r="Z7" s="3"/>
    </row>
    <row r="8" ht="15.75" customHeight="1" outlineLevel="1">
      <c r="A8" s="1"/>
      <c r="B8" s="2"/>
      <c r="C8" s="22" t="str">
        <f>EOMONTH(D5,-1)</f>
        <v>#REF!</v>
      </c>
      <c r="D8" s="22" t="str">
        <f t="shared" ref="D8:E8" si="1">EOMONTH(C8,1)</f>
        <v>#REF!</v>
      </c>
      <c r="E8" s="22" t="str">
        <f t="shared" si="1"/>
        <v>#REF!</v>
      </c>
      <c r="F8" s="3"/>
      <c r="G8" s="3"/>
      <c r="H8" s="3"/>
      <c r="I8" s="3"/>
      <c r="J8" s="3"/>
      <c r="K8" s="3"/>
      <c r="L8" s="3"/>
      <c r="M8" s="3"/>
      <c r="N8" s="18" t="s">
        <v>15</v>
      </c>
      <c r="O8" s="15">
        <f>IFERROR(__xludf.DUMMYFUNCTION("""COMPUTED_VALUE"""),336.3636363636364)</f>
        <v>336.3636364</v>
      </c>
      <c r="P8" s="15">
        <f>IFERROR(__xludf.DUMMYFUNCTION("""COMPUTED_VALUE"""),388.46153846153845)</f>
        <v>388.4615385</v>
      </c>
      <c r="Q8" s="15">
        <f>IFERROR(__xludf.DUMMYFUNCTION("""COMPUTED_VALUE"""),404.0)</f>
        <v>404</v>
      </c>
      <c r="R8" s="3"/>
      <c r="S8" s="3"/>
      <c r="T8" s="3"/>
      <c r="U8" s="3"/>
      <c r="V8" s="3"/>
      <c r="W8" s="3"/>
      <c r="X8" s="3"/>
      <c r="Y8" s="3"/>
      <c r="Z8" s="3"/>
    </row>
    <row r="9" ht="15.75" customHeight="1" outlineLevel="1">
      <c r="A9" s="1"/>
      <c r="B9" s="2"/>
      <c r="C9" s="3"/>
      <c r="D9" s="3"/>
      <c r="E9" s="3"/>
      <c r="F9" s="3"/>
      <c r="G9" s="3"/>
      <c r="H9" s="3"/>
      <c r="I9" s="23"/>
      <c r="J9" s="23"/>
      <c r="K9" s="23"/>
      <c r="L9" s="3"/>
      <c r="M9" s="23"/>
      <c r="N9" s="18" t="s">
        <v>16</v>
      </c>
      <c r="O9" s="15">
        <f>IFERROR(__xludf.DUMMYFUNCTION("""COMPUTED_VALUE"""),400.0)</f>
        <v>400</v>
      </c>
      <c r="P9" s="15">
        <f>IFERROR(__xludf.DUMMYFUNCTION("""COMPUTED_VALUE"""),400.0)</f>
        <v>400</v>
      </c>
      <c r="Q9" s="15">
        <f>IFERROR(__xludf.DUMMYFUNCTION("""COMPUTED_VALUE"""),400.0)</f>
        <v>400</v>
      </c>
      <c r="R9" s="3"/>
      <c r="S9" s="3"/>
      <c r="T9" s="3"/>
      <c r="U9" s="3"/>
      <c r="V9" s="3"/>
      <c r="W9" s="3"/>
      <c r="X9" s="3"/>
      <c r="Y9" s="3"/>
      <c r="Z9" s="3"/>
    </row>
    <row r="10" ht="15.75" customHeight="1" outlineLevel="1">
      <c r="A10" s="1"/>
      <c r="B10" s="2"/>
      <c r="C10" s="24"/>
      <c r="D10" s="3"/>
      <c r="E10" s="3"/>
      <c r="F10" s="3"/>
      <c r="G10" s="3"/>
      <c r="H10" s="3"/>
      <c r="I10" s="25" t="s">
        <v>17</v>
      </c>
      <c r="J10" s="26"/>
      <c r="K10" s="26"/>
      <c r="L10" s="27" t="s">
        <v>18</v>
      </c>
      <c r="M10" s="25"/>
      <c r="N10" s="14" t="s">
        <v>19</v>
      </c>
      <c r="O10" s="15">
        <f>IFERROR(__xludf.DUMMYFUNCTION("""COMPUTED_VALUE"""),200.0)</f>
        <v>200</v>
      </c>
      <c r="P10" s="15">
        <f>IFERROR(__xludf.DUMMYFUNCTION("""COMPUTED_VALUE"""),200.0)</f>
        <v>200</v>
      </c>
      <c r="Q10" s="15">
        <f>IFERROR(__xludf.DUMMYFUNCTION("""COMPUTED_VALUE"""),200.0)</f>
        <v>200</v>
      </c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 outlineLevel="1">
      <c r="A11" s="1"/>
      <c r="B11" s="2"/>
      <c r="C11" s="24" t="s">
        <v>20</v>
      </c>
      <c r="D11" s="3"/>
      <c r="E11" s="3"/>
      <c r="F11" s="3"/>
      <c r="G11" s="3"/>
      <c r="H11" s="3"/>
      <c r="I11" s="26" t="s">
        <v>21</v>
      </c>
      <c r="J11" s="26" t="s">
        <v>21</v>
      </c>
      <c r="K11" s="26" t="s">
        <v>21</v>
      </c>
      <c r="L11" s="26" t="s">
        <v>21</v>
      </c>
      <c r="N11" s="18" t="s">
        <v>22</v>
      </c>
      <c r="O11" s="21">
        <f>IFERROR(__xludf.DUMMYFUNCTION("""COMPUTED_VALUE"""),23.0)</f>
        <v>23</v>
      </c>
      <c r="P11" s="21">
        <f>IFERROR(__xludf.DUMMYFUNCTION("""COMPUTED_VALUE"""),27.0)</f>
        <v>27</v>
      </c>
      <c r="Q11" s="21">
        <f>IFERROR(__xludf.DUMMYFUNCTION("""COMPUTED_VALUE"""),14.0)</f>
        <v>14</v>
      </c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 outlineLevel="1">
      <c r="A12" s="1"/>
      <c r="C12" s="28" t="s">
        <v>6</v>
      </c>
      <c r="D12" s="29" t="s">
        <v>10</v>
      </c>
      <c r="E12" s="29" t="s">
        <v>12</v>
      </c>
      <c r="F12" s="29" t="s">
        <v>13</v>
      </c>
      <c r="G12" s="29" t="s">
        <v>14</v>
      </c>
      <c r="H12" s="29" t="s">
        <v>15</v>
      </c>
      <c r="I12" s="29" t="s">
        <v>16</v>
      </c>
      <c r="J12" s="29" t="s">
        <v>19</v>
      </c>
      <c r="K12" s="29" t="s">
        <v>23</v>
      </c>
      <c r="L12" s="29" t="s">
        <v>24</v>
      </c>
      <c r="M12" s="3"/>
      <c r="N12" s="14" t="s">
        <v>25</v>
      </c>
      <c r="O12" s="21">
        <f>IFERROR(__xludf.DUMMYFUNCTION("""COMPUTED_VALUE"""),22.0)</f>
        <v>22</v>
      </c>
      <c r="P12" s="21">
        <f>IFERROR(__xludf.DUMMYFUNCTION("""COMPUTED_VALUE"""),18.0)</f>
        <v>18</v>
      </c>
      <c r="Q12" s="21">
        <f>IFERROR(__xludf.DUMMYFUNCTION("""COMPUTED_VALUE"""),20.0)</f>
        <v>20</v>
      </c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 outlineLevel="1">
      <c r="A13" s="1"/>
      <c r="C13" s="30" t="s">
        <v>26</v>
      </c>
      <c r="D13" s="31">
        <f t="shared" ref="D13:E13" si="2">SUM(D14:D20)</f>
        <v>11100</v>
      </c>
      <c r="E13" s="31">
        <f t="shared" si="2"/>
        <v>2565</v>
      </c>
      <c r="F13" s="32">
        <f t="shared" ref="F13:F17" si="4">IFERROR(E13/D13,0)</f>
        <v>0.2310810811</v>
      </c>
      <c r="G13" s="33">
        <f>SUM(G14:G20)</f>
        <v>33</v>
      </c>
      <c r="H13" s="31">
        <f>IFERROR(D13/G13,0)</f>
        <v>336.3636364</v>
      </c>
      <c r="I13" s="31">
        <f>IFERROR(__xludf.DUMMYFUNCTION("IFERROR(MIN(FILTER(I14:I20,I14:I20&lt;&gt;0)),0)"),400.0)</f>
        <v>400</v>
      </c>
      <c r="J13" s="31">
        <f>max(J14:J20)</f>
        <v>200</v>
      </c>
      <c r="K13" s="33">
        <f t="shared" ref="K13:L13" si="3">SUM(K14:K18)</f>
        <v>23</v>
      </c>
      <c r="L13" s="33">
        <f t="shared" si="3"/>
        <v>22</v>
      </c>
      <c r="M13" s="3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 outlineLevel="1">
      <c r="A14" s="1"/>
      <c r="C14" s="34" t="s">
        <v>27</v>
      </c>
      <c r="D14" s="35">
        <v>9000.0</v>
      </c>
      <c r="E14" s="35">
        <v>2500.0</v>
      </c>
      <c r="F14" s="36">
        <f t="shared" si="4"/>
        <v>0.2777777778</v>
      </c>
      <c r="G14" s="37">
        <v>12.0</v>
      </c>
      <c r="H14" s="38">
        <v>2000.0</v>
      </c>
      <c r="I14" s="35">
        <v>800.0</v>
      </c>
      <c r="J14" s="35">
        <v>200.0</v>
      </c>
      <c r="K14" s="37">
        <v>5.0</v>
      </c>
      <c r="L14" s="37">
        <v>4.0</v>
      </c>
      <c r="M14" s="3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 outlineLevel="1">
      <c r="A15" s="1"/>
      <c r="C15" s="34" t="s">
        <v>28</v>
      </c>
      <c r="D15" s="39">
        <v>800.0</v>
      </c>
      <c r="E15" s="39">
        <v>60.0</v>
      </c>
      <c r="F15" s="40">
        <f t="shared" si="4"/>
        <v>0.075</v>
      </c>
      <c r="G15" s="41">
        <v>5.0</v>
      </c>
      <c r="H15" s="16">
        <v>1800.0</v>
      </c>
      <c r="I15" s="39">
        <v>400.0</v>
      </c>
      <c r="J15" s="39">
        <v>50.0</v>
      </c>
      <c r="K15" s="41">
        <v>6.0</v>
      </c>
      <c r="L15" s="41">
        <v>6.0</v>
      </c>
      <c r="M15" s="3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 outlineLevel="1">
      <c r="A16" s="1"/>
      <c r="C16" s="42" t="s">
        <v>29</v>
      </c>
      <c r="D16" s="39">
        <v>800.0</v>
      </c>
      <c r="E16" s="39">
        <v>60.0</v>
      </c>
      <c r="F16" s="40">
        <f t="shared" si="4"/>
        <v>0.075</v>
      </c>
      <c r="G16" s="41">
        <v>5.0</v>
      </c>
      <c r="H16" s="16">
        <v>1800.0</v>
      </c>
      <c r="I16" s="39">
        <v>400.0</v>
      </c>
      <c r="J16" s="39">
        <v>50.0</v>
      </c>
      <c r="K16" s="41">
        <v>6.0</v>
      </c>
      <c r="L16" s="41">
        <v>6.0</v>
      </c>
      <c r="M16" s="3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 outlineLevel="1">
      <c r="A17" s="1"/>
      <c r="C17" s="34" t="s">
        <v>30</v>
      </c>
      <c r="D17" s="39">
        <v>500.0</v>
      </c>
      <c r="E17" s="39">
        <v>5.0</v>
      </c>
      <c r="F17" s="40">
        <f t="shared" si="4"/>
        <v>0.01</v>
      </c>
      <c r="G17" s="41">
        <v>5.0</v>
      </c>
      <c r="H17" s="16">
        <f>IFERROR(D17/G17,0)</f>
        <v>100</v>
      </c>
      <c r="I17" s="39">
        <v>400.0</v>
      </c>
      <c r="J17" s="39">
        <v>50.0</v>
      </c>
      <c r="K17" s="41">
        <v>6.0</v>
      </c>
      <c r="L17" s="41">
        <v>6.0</v>
      </c>
      <c r="M17" s="3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 outlineLevel="1">
      <c r="A18" s="1"/>
      <c r="C18" s="43" t="s">
        <v>31</v>
      </c>
      <c r="D18" s="44"/>
      <c r="E18" s="39">
        <v>-30.0</v>
      </c>
      <c r="F18" s="44"/>
      <c r="G18" s="41">
        <v>3.0</v>
      </c>
      <c r="H18" s="44"/>
      <c r="I18" s="44"/>
      <c r="J18" s="44"/>
      <c r="K18" s="45"/>
      <c r="L18" s="45"/>
      <c r="M18" s="3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 outlineLevel="1">
      <c r="A19" s="1"/>
      <c r="C19" s="43" t="s">
        <v>32</v>
      </c>
      <c r="D19" s="44"/>
      <c r="E19" s="39">
        <v>-20.0</v>
      </c>
      <c r="F19" s="44"/>
      <c r="G19" s="41">
        <v>2.0</v>
      </c>
      <c r="H19" s="44"/>
      <c r="I19" s="44"/>
      <c r="J19" s="44"/>
      <c r="K19" s="45"/>
      <c r="L19" s="45"/>
      <c r="M19" s="3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 outlineLevel="1">
      <c r="A20" s="1"/>
      <c r="C20" s="43" t="s">
        <v>33</v>
      </c>
      <c r="D20" s="44"/>
      <c r="E20" s="39">
        <v>-10.0</v>
      </c>
      <c r="F20" s="44"/>
      <c r="G20" s="41">
        <v>1.0</v>
      </c>
      <c r="H20" s="44"/>
      <c r="I20" s="44"/>
      <c r="J20" s="44"/>
      <c r="K20" s="45"/>
      <c r="L20" s="45"/>
      <c r="M20" s="3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 outlineLevel="1">
      <c r="A21" s="1"/>
      <c r="M21" s="3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 outlineLevel="1">
      <c r="A22" s="1"/>
      <c r="C22" s="28" t="s">
        <v>7</v>
      </c>
      <c r="D22" s="29" t="s">
        <v>10</v>
      </c>
      <c r="E22" s="29" t="s">
        <v>12</v>
      </c>
      <c r="F22" s="29" t="s">
        <v>13</v>
      </c>
      <c r="G22" s="29" t="s">
        <v>14</v>
      </c>
      <c r="H22" s="29" t="s">
        <v>15</v>
      </c>
      <c r="I22" s="29" t="s">
        <v>16</v>
      </c>
      <c r="J22" s="29" t="s">
        <v>19</v>
      </c>
      <c r="K22" s="29" t="s">
        <v>23</v>
      </c>
      <c r="L22" s="29" t="s">
        <v>24</v>
      </c>
      <c r="M22" s="3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 outlineLevel="1">
      <c r="A23" s="1"/>
      <c r="C23" s="30" t="s">
        <v>26</v>
      </c>
      <c r="D23" s="31">
        <f t="shared" ref="D23:E23" si="5">SUM(D24:D28)</f>
        <v>10100</v>
      </c>
      <c r="E23" s="31">
        <f t="shared" si="5"/>
        <v>2595</v>
      </c>
      <c r="F23" s="32">
        <f t="shared" ref="F23:F27" si="7">IFERROR(E23/D23,0)</f>
        <v>0.2569306931</v>
      </c>
      <c r="G23" s="33">
        <f>SUM(G24:G28)</f>
        <v>26</v>
      </c>
      <c r="H23" s="31">
        <f t="shared" ref="H23:H27" si="8">IFERROR(D23/G23,0)</f>
        <v>388.4615385</v>
      </c>
      <c r="I23" s="31">
        <f>IFERROR(__xludf.DUMMYFUNCTION("IFERROR(MIN(FILTER(I24:I30,I24:I30&lt;&gt;0)),0)"),400.0)</f>
        <v>400</v>
      </c>
      <c r="J23" s="31">
        <f>max(J24:J30)</f>
        <v>200</v>
      </c>
      <c r="K23" s="33">
        <f t="shared" ref="K23:L23" si="6">SUM(K24:K28)</f>
        <v>27</v>
      </c>
      <c r="L23" s="33">
        <f t="shared" si="6"/>
        <v>18</v>
      </c>
      <c r="M23" s="3"/>
      <c r="N23" s="3"/>
      <c r="O23" s="3"/>
      <c r="P23" s="3"/>
      <c r="Q23" s="3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 outlineLevel="1">
      <c r="A24" s="1"/>
      <c r="C24" s="34" t="s">
        <v>27</v>
      </c>
      <c r="D24" s="35">
        <v>8000.0</v>
      </c>
      <c r="E24" s="35">
        <v>2500.0</v>
      </c>
      <c r="F24" s="36">
        <f t="shared" si="7"/>
        <v>0.3125</v>
      </c>
      <c r="G24" s="37">
        <v>12.0</v>
      </c>
      <c r="H24" s="38">
        <f t="shared" si="8"/>
        <v>666.6666667</v>
      </c>
      <c r="I24" s="35">
        <v>800.0</v>
      </c>
      <c r="J24" s="35">
        <v>200.0</v>
      </c>
      <c r="K24" s="37">
        <v>8.0</v>
      </c>
      <c r="L24" s="37">
        <v>4.0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outlineLevel="1">
      <c r="A25" s="1"/>
      <c r="C25" s="34" t="s">
        <v>28</v>
      </c>
      <c r="D25" s="39">
        <v>800.0</v>
      </c>
      <c r="E25" s="39">
        <v>60.0</v>
      </c>
      <c r="F25" s="40">
        <f t="shared" si="7"/>
        <v>0.075</v>
      </c>
      <c r="G25" s="41">
        <v>5.0</v>
      </c>
      <c r="H25" s="16">
        <f t="shared" si="8"/>
        <v>160</v>
      </c>
      <c r="I25" s="39">
        <v>400.0</v>
      </c>
      <c r="J25" s="39">
        <v>50.0</v>
      </c>
      <c r="K25" s="41">
        <v>6.0</v>
      </c>
      <c r="L25" s="41">
        <v>6.0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outlineLevel="1">
      <c r="A26" s="1"/>
      <c r="C26" s="42" t="s">
        <v>29</v>
      </c>
      <c r="D26" s="39">
        <v>800.0</v>
      </c>
      <c r="E26" s="39">
        <v>60.0</v>
      </c>
      <c r="F26" s="40">
        <f t="shared" si="7"/>
        <v>0.075</v>
      </c>
      <c r="G26" s="41">
        <v>5.0</v>
      </c>
      <c r="H26" s="16">
        <f t="shared" si="8"/>
        <v>160</v>
      </c>
      <c r="I26" s="39">
        <v>400.0</v>
      </c>
      <c r="J26" s="39">
        <v>50.0</v>
      </c>
      <c r="K26" s="41">
        <v>6.0</v>
      </c>
      <c r="L26" s="41">
        <v>6.0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outlineLevel="1">
      <c r="A27" s="1"/>
      <c r="C27" s="34" t="s">
        <v>30</v>
      </c>
      <c r="D27" s="39">
        <v>500.0</v>
      </c>
      <c r="E27" s="39">
        <v>5.0</v>
      </c>
      <c r="F27" s="40">
        <f t="shared" si="7"/>
        <v>0.01</v>
      </c>
      <c r="G27" s="41">
        <v>1.0</v>
      </c>
      <c r="H27" s="16">
        <f t="shared" si="8"/>
        <v>500</v>
      </c>
      <c r="I27" s="39">
        <v>400.0</v>
      </c>
      <c r="J27" s="39">
        <v>50.0</v>
      </c>
      <c r="K27" s="41">
        <v>7.0</v>
      </c>
      <c r="L27" s="41">
        <v>2.0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outlineLevel="1">
      <c r="A28" s="1"/>
      <c r="C28" s="43" t="s">
        <v>31</v>
      </c>
      <c r="D28" s="44"/>
      <c r="E28" s="39">
        <v>-30.0</v>
      </c>
      <c r="F28" s="44"/>
      <c r="G28" s="41">
        <v>3.0</v>
      </c>
      <c r="H28" s="44"/>
      <c r="I28" s="44"/>
      <c r="J28" s="44"/>
      <c r="K28" s="45"/>
      <c r="L28" s="4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outlineLevel="1">
      <c r="A29" s="1"/>
      <c r="C29" s="43" t="s">
        <v>32</v>
      </c>
      <c r="D29" s="44"/>
      <c r="E29" s="39">
        <v>-20.0</v>
      </c>
      <c r="F29" s="44"/>
      <c r="G29" s="41">
        <v>2.0</v>
      </c>
      <c r="H29" s="44"/>
      <c r="I29" s="44"/>
      <c r="J29" s="44"/>
      <c r="K29" s="45"/>
      <c r="L29" s="4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outlineLevel="1">
      <c r="A30" s="1"/>
      <c r="B30" s="2"/>
      <c r="C30" s="43" t="s">
        <v>33</v>
      </c>
      <c r="D30" s="44"/>
      <c r="E30" s="39">
        <v>-10.0</v>
      </c>
      <c r="F30" s="44"/>
      <c r="G30" s="41">
        <v>1.0</v>
      </c>
      <c r="H30" s="44"/>
      <c r="I30" s="44"/>
      <c r="J30" s="44"/>
      <c r="K30" s="45"/>
      <c r="L30" s="4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outlineLevel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outlineLevel="1">
      <c r="A32" s="1"/>
      <c r="C32" s="28" t="s">
        <v>8</v>
      </c>
      <c r="D32" s="29" t="s">
        <v>10</v>
      </c>
      <c r="E32" s="29" t="s">
        <v>12</v>
      </c>
      <c r="F32" s="29" t="s">
        <v>13</v>
      </c>
      <c r="G32" s="29" t="s">
        <v>14</v>
      </c>
      <c r="H32" s="29" t="s">
        <v>15</v>
      </c>
      <c r="I32" s="29" t="s">
        <v>16</v>
      </c>
      <c r="J32" s="29" t="s">
        <v>19</v>
      </c>
      <c r="K32" s="29" t="s">
        <v>23</v>
      </c>
      <c r="L32" s="29" t="s">
        <v>24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outlineLevel="1">
      <c r="A33" s="1"/>
      <c r="C33" s="30" t="s">
        <v>26</v>
      </c>
      <c r="D33" s="31">
        <f t="shared" ref="D33:E33" si="9">SUM(D34:D38)</f>
        <v>10100</v>
      </c>
      <c r="E33" s="31">
        <f t="shared" si="9"/>
        <v>2595</v>
      </c>
      <c r="F33" s="32">
        <f t="shared" ref="F33:F37" si="11">IFERROR(E33/D33,0)</f>
        <v>0.2569306931</v>
      </c>
      <c r="G33" s="33">
        <f>SUM(G34:G38)</f>
        <v>25</v>
      </c>
      <c r="H33" s="31">
        <f t="shared" ref="H33:H37" si="12">IFERROR(D33/G33,0)</f>
        <v>404</v>
      </c>
      <c r="I33" s="31">
        <f>IFERROR(__xludf.DUMMYFUNCTION("IFERROR(MIN(FILTER(I34:I40,I34:I40&lt;&gt;0)),0)"),400.0)</f>
        <v>400</v>
      </c>
      <c r="J33" s="31">
        <f>max(J34:J40)</f>
        <v>200</v>
      </c>
      <c r="K33" s="33">
        <f t="shared" ref="K33:L33" si="10">SUM(K34:K38)</f>
        <v>14</v>
      </c>
      <c r="L33" s="33">
        <f t="shared" si="10"/>
        <v>20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outlineLevel="1">
      <c r="A34" s="1"/>
      <c r="C34" s="34" t="s">
        <v>27</v>
      </c>
      <c r="D34" s="35">
        <v>8000.0</v>
      </c>
      <c r="E34" s="35">
        <v>2500.0</v>
      </c>
      <c r="F34" s="36">
        <f t="shared" si="11"/>
        <v>0.3125</v>
      </c>
      <c r="G34" s="37">
        <v>12.0</v>
      </c>
      <c r="H34" s="38">
        <f t="shared" si="12"/>
        <v>666.6666667</v>
      </c>
      <c r="I34" s="35">
        <v>800.0</v>
      </c>
      <c r="J34" s="35">
        <v>200.0</v>
      </c>
      <c r="K34" s="37">
        <v>7.0</v>
      </c>
      <c r="L34" s="37">
        <v>7.0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outlineLevel="1">
      <c r="A35" s="1"/>
      <c r="C35" s="34" t="s">
        <v>28</v>
      </c>
      <c r="D35" s="39">
        <v>800.0</v>
      </c>
      <c r="E35" s="39">
        <v>60.0</v>
      </c>
      <c r="F35" s="40">
        <f t="shared" si="11"/>
        <v>0.075</v>
      </c>
      <c r="G35" s="41">
        <v>5.0</v>
      </c>
      <c r="H35" s="16">
        <f t="shared" si="12"/>
        <v>160</v>
      </c>
      <c r="I35" s="39">
        <v>400.0</v>
      </c>
      <c r="J35" s="39">
        <v>50.0</v>
      </c>
      <c r="K35" s="41">
        <v>2.0</v>
      </c>
      <c r="L35" s="41">
        <v>5.0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outlineLevel="1">
      <c r="A36" s="1"/>
      <c r="C36" s="42" t="s">
        <v>29</v>
      </c>
      <c r="D36" s="39">
        <v>800.0</v>
      </c>
      <c r="E36" s="39">
        <v>60.0</v>
      </c>
      <c r="F36" s="40">
        <f t="shared" si="11"/>
        <v>0.075</v>
      </c>
      <c r="G36" s="41">
        <v>5.0</v>
      </c>
      <c r="H36" s="16">
        <f t="shared" si="12"/>
        <v>160</v>
      </c>
      <c r="I36" s="39">
        <v>400.0</v>
      </c>
      <c r="J36" s="39">
        <v>50.0</v>
      </c>
      <c r="K36" s="41">
        <v>2.0</v>
      </c>
      <c r="L36" s="41">
        <v>5.0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outlineLevel="1">
      <c r="A37" s="1"/>
      <c r="C37" s="34" t="s">
        <v>30</v>
      </c>
      <c r="D37" s="39">
        <v>500.0</v>
      </c>
      <c r="E37" s="39">
        <v>5.0</v>
      </c>
      <c r="F37" s="40">
        <f t="shared" si="11"/>
        <v>0.01</v>
      </c>
      <c r="G37" s="41"/>
      <c r="H37" s="16">
        <f t="shared" si="12"/>
        <v>0</v>
      </c>
      <c r="I37" s="39">
        <v>400.0</v>
      </c>
      <c r="J37" s="39">
        <v>50.0</v>
      </c>
      <c r="K37" s="41">
        <v>3.0</v>
      </c>
      <c r="L37" s="41">
        <v>3.0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outlineLevel="1">
      <c r="A38" s="1"/>
      <c r="C38" s="43" t="s">
        <v>31</v>
      </c>
      <c r="D38" s="44"/>
      <c r="E38" s="39">
        <v>-30.0</v>
      </c>
      <c r="F38" s="44"/>
      <c r="G38" s="41">
        <v>3.0</v>
      </c>
      <c r="H38" s="44"/>
      <c r="I38" s="44"/>
      <c r="J38" s="44"/>
      <c r="K38" s="45"/>
      <c r="L38" s="4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outlineLevel="1">
      <c r="A39" s="1"/>
      <c r="C39" s="43" t="s">
        <v>32</v>
      </c>
      <c r="D39" s="44"/>
      <c r="E39" s="39">
        <v>-20.0</v>
      </c>
      <c r="F39" s="44"/>
      <c r="G39" s="41">
        <v>2.0</v>
      </c>
      <c r="H39" s="44"/>
      <c r="I39" s="44"/>
      <c r="J39" s="44"/>
      <c r="K39" s="45"/>
      <c r="L39" s="4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outlineLevel="1">
      <c r="A40" s="1"/>
      <c r="C40" s="43" t="s">
        <v>33</v>
      </c>
      <c r="D40" s="44"/>
      <c r="E40" s="39">
        <v>-10.0</v>
      </c>
      <c r="F40" s="44"/>
      <c r="G40" s="41">
        <v>1.0</v>
      </c>
      <c r="H40" s="44"/>
      <c r="I40" s="44"/>
      <c r="J40" s="44"/>
      <c r="K40" s="45"/>
      <c r="L40" s="4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outlineLevel="1">
      <c r="A41" s="1"/>
      <c r="B41" s="2"/>
      <c r="C41" s="24"/>
      <c r="D41" s="46"/>
      <c r="E41" s="46"/>
      <c r="F41" s="46"/>
      <c r="G41" s="46"/>
      <c r="H41" s="3"/>
      <c r="I41" s="23"/>
      <c r="J41" s="23"/>
      <c r="K41" s="23"/>
      <c r="L41" s="47"/>
      <c r="M41" s="23"/>
      <c r="N41" s="2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2"/>
      <c r="C42" s="24"/>
      <c r="D42" s="46"/>
      <c r="E42" s="46"/>
      <c r="F42" s="46"/>
      <c r="G42" s="46"/>
      <c r="H42" s="3"/>
      <c r="I42" s="23"/>
      <c r="J42" s="23"/>
      <c r="K42" s="23"/>
      <c r="L42" s="47"/>
      <c r="M42" s="23"/>
      <c r="N42" s="2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48" t="s">
        <v>34</v>
      </c>
      <c r="C43" s="46"/>
      <c r="D43" s="3"/>
      <c r="E43" s="46"/>
      <c r="F43" s="46"/>
      <c r="G43" s="46"/>
      <c r="H43" s="3"/>
      <c r="I43" s="23"/>
      <c r="J43" s="23"/>
      <c r="K43" s="23"/>
      <c r="L43" s="47"/>
      <c r="M43" s="23"/>
      <c r="N43" s="2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49" t="s">
        <v>35</v>
      </c>
      <c r="C44" s="46"/>
      <c r="D44" s="3"/>
      <c r="E44" s="46"/>
      <c r="F44" s="46"/>
      <c r="G44" s="46"/>
      <c r="H44" s="3"/>
      <c r="I44" s="23"/>
      <c r="J44" s="23"/>
      <c r="K44" s="23"/>
      <c r="L44" s="47"/>
      <c r="M44" s="23"/>
      <c r="N44" s="2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2"/>
      <c r="C45" s="24"/>
      <c r="D45" s="3"/>
      <c r="E45" s="3"/>
      <c r="F45" s="3"/>
      <c r="G45" s="27"/>
      <c r="H45" s="3"/>
      <c r="I45" s="23"/>
      <c r="J45" s="23"/>
      <c r="K45" s="23"/>
      <c r="L45" s="47"/>
      <c r="M45" s="23"/>
      <c r="N45" s="2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2"/>
      <c r="C46" s="50" t="str">
        <f>$D$8</f>
        <v>#REF!</v>
      </c>
      <c r="D46" s="3"/>
      <c r="E46" s="3"/>
      <c r="F46" s="3"/>
      <c r="G46" s="27" t="s">
        <v>18</v>
      </c>
      <c r="H46" s="3"/>
      <c r="I46" s="23"/>
      <c r="J46" s="23"/>
      <c r="K46" s="23"/>
      <c r="L46" s="47"/>
      <c r="M46" s="23"/>
      <c r="N46" s="2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2"/>
      <c r="C47" s="51"/>
      <c r="D47" s="52" t="s">
        <v>6</v>
      </c>
      <c r="E47" s="52" t="s">
        <v>7</v>
      </c>
      <c r="F47" s="52" t="s">
        <v>36</v>
      </c>
      <c r="G47" s="52" t="s">
        <v>37</v>
      </c>
      <c r="H47" s="3"/>
      <c r="I47" s="23"/>
      <c r="J47" s="23"/>
      <c r="K47" s="23"/>
      <c r="L47" s="47"/>
      <c r="M47" s="23"/>
      <c r="N47" s="2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2"/>
      <c r="C48" s="53"/>
      <c r="D48" s="54" t="str">
        <f>$C$8</f>
        <v>#REF!</v>
      </c>
      <c r="E48" s="54" t="str">
        <f>$D$8</f>
        <v>#REF!</v>
      </c>
      <c r="F48" s="55"/>
      <c r="G48" s="56"/>
      <c r="H48" s="3"/>
      <c r="I48" s="23"/>
      <c r="J48" s="23"/>
      <c r="K48" s="23"/>
      <c r="L48" s="47"/>
      <c r="M48" s="23"/>
      <c r="N48" s="2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1"/>
      <c r="B49" s="2"/>
      <c r="C49" s="57" t="s">
        <v>10</v>
      </c>
      <c r="D49" s="15">
        <f>IFERROR(__xludf.DUMMYFUNCTION("TRANSPOSE(BYCOL(FILTER($D$13:$G$19, $C$13:$C$19=""総額""), LAMBDA(col, SUM(col))))
"),11100.0)</f>
        <v>11100</v>
      </c>
      <c r="E49" s="16">
        <f>IFERROR(__xludf.DUMMYFUNCTION("TRANSPOSE(BYCOL(FILTER($D$23:$G$29, $C$23:$C$29=""総額""), LAMBDA(col, SUM(col))))
"),10100.0)</f>
        <v>10100</v>
      </c>
      <c r="F49" s="15">
        <f t="shared" ref="F49:F50" si="13">E49-D49</f>
        <v>-1000</v>
      </c>
      <c r="G49" s="58">
        <f t="shared" ref="G49:G50" si="14">IFERROR(F49/D49, "-")
</f>
        <v>-0.09009009009</v>
      </c>
      <c r="H49" s="3"/>
      <c r="I49" s="23"/>
      <c r="J49" s="23"/>
      <c r="K49" s="23"/>
      <c r="L49" s="47"/>
      <c r="M49" s="23"/>
      <c r="N49" s="2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1"/>
      <c r="B50" s="2"/>
      <c r="C50" s="59" t="s">
        <v>12</v>
      </c>
      <c r="D50" s="16">
        <f>IFERROR(__xludf.DUMMYFUNCTION("""COMPUTED_VALUE"""),2565.0)</f>
        <v>2565</v>
      </c>
      <c r="E50" s="16">
        <f>IFERROR(__xludf.DUMMYFUNCTION("""COMPUTED_VALUE"""),2595.0)</f>
        <v>2595</v>
      </c>
      <c r="F50" s="60">
        <f t="shared" si="13"/>
        <v>30</v>
      </c>
      <c r="G50" s="58">
        <f t="shared" si="14"/>
        <v>0.01169590643</v>
      </c>
      <c r="H50" s="3"/>
      <c r="I50" s="23"/>
      <c r="J50" s="23"/>
      <c r="K50" s="23"/>
      <c r="L50" s="47"/>
      <c r="M50" s="23"/>
      <c r="N50" s="2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1"/>
      <c r="B51" s="2"/>
      <c r="C51" s="61" t="s">
        <v>38</v>
      </c>
      <c r="D51" s="40">
        <f>IFERROR(__xludf.DUMMYFUNCTION("""COMPUTED_VALUE"""),0.23108108108108108)</f>
        <v>0.2310810811</v>
      </c>
      <c r="E51" s="40">
        <f>IFERROR(__xludf.DUMMYFUNCTION("""COMPUTED_VALUE"""),0.25693069306930694)</f>
        <v>0.2569306931</v>
      </c>
      <c r="F51" s="62"/>
      <c r="G51" s="63">
        <f>(E51-D51)*100</f>
        <v>2.584961199</v>
      </c>
      <c r="H51" s="3"/>
      <c r="I51" s="23"/>
      <c r="J51" s="23"/>
      <c r="K51" s="23"/>
      <c r="L51" s="47"/>
      <c r="M51" s="23"/>
      <c r="N51" s="2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1"/>
      <c r="B52" s="2"/>
      <c r="C52" s="61" t="s">
        <v>14</v>
      </c>
      <c r="D52" s="64">
        <f>IFERROR(__xludf.DUMMYFUNCTION("""COMPUTED_VALUE"""),33.0)</f>
        <v>33</v>
      </c>
      <c r="E52" s="64">
        <f>IFERROR(__xludf.DUMMYFUNCTION("""COMPUTED_VALUE"""),26.0)</f>
        <v>26</v>
      </c>
      <c r="F52" s="65">
        <f>E52-D52</f>
        <v>-7</v>
      </c>
      <c r="G52" s="58">
        <f>IFERROR(F52/D52, "-")
</f>
        <v>-0.2121212121</v>
      </c>
      <c r="H52" s="3"/>
      <c r="I52" s="23"/>
      <c r="J52" s="23"/>
      <c r="K52" s="23"/>
      <c r="L52" s="47"/>
      <c r="M52" s="23"/>
      <c r="N52" s="2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2"/>
      <c r="C53" s="3"/>
      <c r="D53" s="3"/>
      <c r="E53" s="3"/>
      <c r="F53" s="3"/>
      <c r="G53" s="3"/>
      <c r="H53" s="3"/>
      <c r="I53" s="23"/>
      <c r="J53" s="23"/>
      <c r="K53" s="23"/>
      <c r="L53" s="47"/>
      <c r="M53" s="23"/>
      <c r="N53" s="2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2"/>
      <c r="C54" s="24" t="s">
        <v>39</v>
      </c>
      <c r="D54" s="3"/>
      <c r="E54" s="3"/>
      <c r="F54" s="3"/>
      <c r="G54" s="3"/>
      <c r="H54" s="3"/>
      <c r="I54" s="23"/>
      <c r="J54" s="23"/>
      <c r="K54" s="23"/>
      <c r="L54" s="47"/>
      <c r="M54" s="23"/>
      <c r="N54" s="2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2"/>
      <c r="C55" s="66" t="s">
        <v>40</v>
      </c>
      <c r="D55" s="46"/>
      <c r="E55" s="46"/>
      <c r="F55" s="46"/>
      <c r="G55" s="3"/>
      <c r="H55" s="3"/>
      <c r="I55" s="23"/>
      <c r="J55" s="23"/>
      <c r="K55" s="23"/>
      <c r="L55" s="47"/>
      <c r="M55" s="23"/>
      <c r="N55" s="2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2"/>
      <c r="C56" s="66" t="s">
        <v>41</v>
      </c>
      <c r="D56" s="46"/>
      <c r="E56" s="46"/>
      <c r="F56" s="46"/>
      <c r="G56" s="3"/>
      <c r="H56" s="3"/>
      <c r="I56" s="23"/>
      <c r="J56" s="23"/>
      <c r="K56" s="23"/>
      <c r="L56" s="47"/>
      <c r="M56" s="23"/>
      <c r="N56" s="2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2"/>
      <c r="C57" s="66" t="s">
        <v>42</v>
      </c>
      <c r="D57" s="46"/>
      <c r="E57" s="46"/>
      <c r="F57" s="46"/>
      <c r="G57" s="3"/>
      <c r="H57" s="3"/>
      <c r="I57" s="23"/>
      <c r="J57" s="23"/>
      <c r="K57" s="23"/>
      <c r="L57" s="47"/>
      <c r="M57" s="23"/>
      <c r="N57" s="2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"/>
      <c r="C58" s="3"/>
      <c r="D58" s="3"/>
      <c r="E58" s="3"/>
      <c r="F58" s="3"/>
      <c r="G58" s="3"/>
      <c r="H58" s="3"/>
      <c r="I58" s="23"/>
      <c r="J58" s="23"/>
      <c r="K58" s="23"/>
      <c r="L58" s="47"/>
      <c r="M58" s="23"/>
      <c r="N58" s="2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2"/>
      <c r="C59" s="3"/>
      <c r="D59" s="3"/>
      <c r="E59" s="3"/>
      <c r="F59" s="3"/>
      <c r="G59" s="3"/>
      <c r="H59" s="3"/>
      <c r="I59" s="23"/>
      <c r="J59" s="23"/>
      <c r="K59" s="23"/>
      <c r="L59" s="47"/>
      <c r="M59" s="23"/>
      <c r="N59" s="2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2"/>
      <c r="C60" s="3"/>
      <c r="D60" s="3"/>
      <c r="E60" s="3"/>
      <c r="F60" s="3"/>
      <c r="G60" s="3"/>
      <c r="H60" s="3"/>
      <c r="I60" s="23"/>
      <c r="J60" s="23"/>
      <c r="K60" s="23"/>
      <c r="L60" s="47"/>
      <c r="M60" s="23"/>
      <c r="N60" s="2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2"/>
      <c r="C61" s="3"/>
      <c r="D61" s="3"/>
      <c r="E61" s="3"/>
      <c r="F61" s="3"/>
      <c r="G61" s="3"/>
      <c r="H61" s="3"/>
      <c r="I61" s="23"/>
      <c r="J61" s="23"/>
      <c r="K61" s="23"/>
      <c r="L61" s="47"/>
      <c r="M61" s="23"/>
      <c r="N61" s="2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2"/>
      <c r="C62" s="67" t="str">
        <f>$E$8</f>
        <v>#REF!</v>
      </c>
      <c r="E62" s="3"/>
      <c r="F62" s="3"/>
      <c r="G62" s="27" t="s">
        <v>18</v>
      </c>
      <c r="H62" s="3"/>
      <c r="I62" s="23"/>
      <c r="J62" s="23"/>
      <c r="K62" s="23"/>
      <c r="L62" s="47"/>
      <c r="M62" s="23"/>
      <c r="N62" s="2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2"/>
      <c r="C63" s="51"/>
      <c r="D63" s="52" t="s">
        <v>6</v>
      </c>
      <c r="E63" s="52" t="s">
        <v>7</v>
      </c>
      <c r="F63" s="52" t="s">
        <v>8</v>
      </c>
      <c r="G63" s="52"/>
      <c r="H63" s="3"/>
      <c r="I63" s="23"/>
      <c r="J63" s="23"/>
      <c r="K63" s="23"/>
      <c r="L63" s="47"/>
      <c r="M63" s="23"/>
      <c r="N63" s="2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2"/>
      <c r="C64" s="53"/>
      <c r="D64" s="54" t="str">
        <f>$C$8</f>
        <v>#REF!</v>
      </c>
      <c r="E64" s="54" t="str">
        <f>$D$8</f>
        <v>#REF!</v>
      </c>
      <c r="F64" s="54" t="str">
        <f>$E$8</f>
        <v>#REF!</v>
      </c>
      <c r="G64" s="54" t="str">
        <f>EOMONTH(F64,1)</f>
        <v>#REF!</v>
      </c>
      <c r="H64" s="3"/>
      <c r="I64" s="23"/>
      <c r="J64" s="23"/>
      <c r="K64" s="23"/>
      <c r="L64" s="47"/>
      <c r="M64" s="23"/>
      <c r="N64" s="2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1"/>
      <c r="B65" s="2"/>
      <c r="C65" s="57" t="s">
        <v>10</v>
      </c>
      <c r="D65" s="15">
        <f>IFERROR(__xludf.DUMMYFUNCTION("TRANSPOSE(BYCOL(FILTER($D$13:$G$19, $C$13:$C$19=""総額""), LAMBDA(col, SUM(col))))
"),11100.0)</f>
        <v>11100</v>
      </c>
      <c r="E65" s="16">
        <f>IFERROR(__xludf.DUMMYFUNCTION("TRANSPOSE(BYCOL(FILTER($D$23:$G$29, $C$23:$C$29=""総額""), LAMBDA(col, SUM(col))))
"),10100.0)</f>
        <v>10100</v>
      </c>
      <c r="F65" s="15">
        <f>IFERROR(__xludf.DUMMYFUNCTION("TRANSPOSE(BYCOL(FILTER($D$32:$G$38, $C$32:$C$38=""総額""), LAMBDA(col, SUM(col))))
"),10100.0)</f>
        <v>10100</v>
      </c>
      <c r="G65" s="35">
        <v>10000.0</v>
      </c>
      <c r="H65" s="3"/>
      <c r="I65" s="23"/>
      <c r="J65" s="23"/>
      <c r="K65" s="23"/>
      <c r="L65" s="47"/>
      <c r="M65" s="23"/>
      <c r="N65" s="2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1"/>
      <c r="B66" s="2"/>
      <c r="C66" s="59" t="s">
        <v>12</v>
      </c>
      <c r="D66" s="38">
        <f>IFERROR(__xludf.DUMMYFUNCTION("""COMPUTED_VALUE"""),2565.0)</f>
        <v>2565</v>
      </c>
      <c r="E66" s="38">
        <f>IFERROR(__xludf.DUMMYFUNCTION("""COMPUTED_VALUE"""),2595.0)</f>
        <v>2595</v>
      </c>
      <c r="F66" s="68">
        <f>IFERROR(__xludf.DUMMYFUNCTION("""COMPUTED_VALUE"""),2595.0)</f>
        <v>2595</v>
      </c>
      <c r="G66" s="39">
        <v>300.0</v>
      </c>
      <c r="H66" s="3"/>
      <c r="I66" s="23"/>
      <c r="J66" s="23"/>
      <c r="K66" s="23"/>
      <c r="L66" s="47"/>
      <c r="M66" s="23"/>
      <c r="N66" s="2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1"/>
      <c r="B67" s="2"/>
      <c r="C67" s="61" t="s">
        <v>13</v>
      </c>
      <c r="D67" s="40">
        <f>IFERROR(__xludf.DUMMYFUNCTION("""COMPUTED_VALUE"""),0.23108108108108108)</f>
        <v>0.2310810811</v>
      </c>
      <c r="E67" s="40">
        <f>IFERROR(__xludf.DUMMYFUNCTION("""COMPUTED_VALUE"""),0.25693069306930694)</f>
        <v>0.2569306931</v>
      </c>
      <c r="F67" s="40">
        <f>IFERROR(__xludf.DUMMYFUNCTION("""COMPUTED_VALUE"""),0.25693069306930694)</f>
        <v>0.2569306931</v>
      </c>
      <c r="G67" s="40">
        <f>IFERROR(G66/G65,0)</f>
        <v>0.03</v>
      </c>
      <c r="H67" s="3"/>
      <c r="I67" s="23"/>
      <c r="J67" s="23"/>
      <c r="K67" s="23"/>
      <c r="L67" s="47"/>
      <c r="M67" s="23"/>
      <c r="N67" s="2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1"/>
      <c r="B68" s="2"/>
      <c r="C68" s="61" t="s">
        <v>14</v>
      </c>
      <c r="D68" s="64">
        <f>IFERROR(__xludf.DUMMYFUNCTION("""COMPUTED_VALUE"""),33.0)</f>
        <v>33</v>
      </c>
      <c r="E68" s="64">
        <f>IFERROR(__xludf.DUMMYFUNCTION("""COMPUTED_VALUE"""),26.0)</f>
        <v>26</v>
      </c>
      <c r="F68" s="69">
        <f>IFERROR(__xludf.DUMMYFUNCTION("""COMPUTED_VALUE"""),25.0)</f>
        <v>25</v>
      </c>
      <c r="G68" s="58">
        <f>IFERROR(F68/D68, "-")
</f>
        <v>0.7575757576</v>
      </c>
      <c r="H68" s="3"/>
      <c r="I68" s="23"/>
      <c r="J68" s="23"/>
      <c r="K68" s="23"/>
      <c r="L68" s="47"/>
      <c r="M68" s="23"/>
      <c r="N68" s="2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2"/>
      <c r="C69" s="24"/>
      <c r="D69" s="3"/>
      <c r="E69" s="3"/>
      <c r="F69" s="3"/>
      <c r="G69" s="3"/>
      <c r="H69" s="3"/>
      <c r="I69" s="23"/>
      <c r="J69" s="23"/>
      <c r="K69" s="23"/>
      <c r="L69" s="47"/>
      <c r="M69" s="23"/>
      <c r="N69" s="2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2"/>
      <c r="C70" s="24" t="s">
        <v>39</v>
      </c>
      <c r="D70" s="3"/>
      <c r="E70" s="3"/>
      <c r="F70" s="3"/>
      <c r="G70" s="3"/>
      <c r="H70" s="3"/>
      <c r="I70" s="23"/>
      <c r="J70" s="23"/>
      <c r="K70" s="23"/>
      <c r="L70" s="47"/>
      <c r="M70" s="23"/>
      <c r="N70" s="2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2"/>
      <c r="C71" s="66" t="s">
        <v>43</v>
      </c>
      <c r="D71" s="46"/>
      <c r="E71" s="46"/>
      <c r="F71" s="46"/>
      <c r="G71" s="46"/>
      <c r="H71" s="46"/>
      <c r="I71" s="23"/>
      <c r="J71" s="23"/>
      <c r="K71" s="23"/>
      <c r="L71" s="47"/>
      <c r="M71" s="23"/>
      <c r="N71" s="2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2"/>
      <c r="C72" s="66" t="s">
        <v>44</v>
      </c>
      <c r="D72" s="46"/>
      <c r="E72" s="46"/>
      <c r="F72" s="46"/>
      <c r="G72" s="46"/>
      <c r="H72" s="46"/>
      <c r="I72" s="23"/>
      <c r="J72" s="23"/>
      <c r="K72" s="23"/>
      <c r="L72" s="47"/>
      <c r="M72" s="23"/>
      <c r="N72" s="2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2"/>
      <c r="C73" s="66" t="s">
        <v>45</v>
      </c>
      <c r="D73" s="46"/>
      <c r="E73" s="46"/>
      <c r="F73" s="46"/>
      <c r="G73" s="46"/>
      <c r="H73" s="46"/>
      <c r="I73" s="23"/>
      <c r="J73" s="23"/>
      <c r="K73" s="23"/>
      <c r="L73" s="47"/>
      <c r="M73" s="23"/>
      <c r="N73" s="2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2"/>
      <c r="C74" s="66" t="s">
        <v>46</v>
      </c>
      <c r="D74" s="46"/>
      <c r="E74" s="46"/>
      <c r="F74" s="46"/>
      <c r="G74" s="46"/>
      <c r="H74" s="46"/>
      <c r="I74" s="23"/>
      <c r="J74" s="23"/>
      <c r="K74" s="23"/>
      <c r="L74" s="47"/>
      <c r="M74" s="23"/>
      <c r="N74" s="2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2"/>
      <c r="C75" s="66" t="s">
        <v>47</v>
      </c>
      <c r="D75" s="46"/>
      <c r="E75" s="46"/>
      <c r="F75" s="46"/>
      <c r="G75" s="46"/>
      <c r="H75" s="46"/>
      <c r="I75" s="23"/>
      <c r="J75" s="23"/>
      <c r="K75" s="23"/>
      <c r="L75" s="47"/>
      <c r="M75" s="23"/>
      <c r="N75" s="2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2"/>
      <c r="C76" s="3"/>
      <c r="D76" s="3"/>
      <c r="E76" s="3"/>
      <c r="F76" s="3"/>
      <c r="G76" s="3"/>
      <c r="H76" s="3"/>
      <c r="I76" s="23"/>
      <c r="J76" s="23"/>
      <c r="K76" s="23"/>
      <c r="L76" s="47"/>
      <c r="M76" s="23"/>
      <c r="N76" s="2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2"/>
      <c r="C77" s="3"/>
      <c r="D77" s="3"/>
      <c r="E77" s="3"/>
      <c r="F77" s="3"/>
      <c r="G77" s="27"/>
      <c r="H77" s="3"/>
      <c r="I77" s="23"/>
      <c r="J77" s="23"/>
      <c r="K77" s="23"/>
      <c r="L77" s="47"/>
      <c r="M77" s="23"/>
      <c r="N77" s="2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48" t="s">
        <v>48</v>
      </c>
      <c r="C78" s="3"/>
      <c r="D78" s="3"/>
      <c r="E78" s="3"/>
      <c r="F78" s="3"/>
      <c r="G78" s="3"/>
      <c r="H78" s="3"/>
      <c r="I78" s="23"/>
      <c r="J78" s="23"/>
      <c r="K78" s="23"/>
      <c r="L78" s="47"/>
      <c r="M78" s="23"/>
      <c r="N78" s="2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70" t="s">
        <v>49</v>
      </c>
      <c r="C79" s="3"/>
      <c r="D79" s="3"/>
      <c r="E79" s="3"/>
      <c r="F79" s="3"/>
      <c r="G79" s="3"/>
      <c r="H79" s="3"/>
      <c r="I79" s="23"/>
      <c r="J79" s="23"/>
      <c r="K79" s="23"/>
      <c r="L79" s="47"/>
      <c r="M79" s="23"/>
      <c r="N79" s="2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2"/>
      <c r="C80" s="3"/>
      <c r="D80" s="3"/>
      <c r="E80" s="3"/>
      <c r="F80" s="3"/>
      <c r="G80" s="3"/>
      <c r="H80" s="3"/>
      <c r="I80" s="23"/>
      <c r="J80" s="23"/>
      <c r="K80" s="23"/>
      <c r="L80" s="47"/>
      <c r="M80" s="23"/>
      <c r="N80" s="2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2"/>
      <c r="C81" s="3" t="s">
        <v>50</v>
      </c>
      <c r="D81" s="3"/>
      <c r="E81" s="3"/>
      <c r="F81" s="3"/>
      <c r="G81" s="3"/>
      <c r="H81" s="3"/>
      <c r="I81" s="23"/>
      <c r="J81" s="23"/>
      <c r="K81" s="23"/>
      <c r="L81" s="47"/>
      <c r="M81" s="23"/>
      <c r="N81" s="2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2"/>
      <c r="C82" s="3" t="s">
        <v>51</v>
      </c>
      <c r="D82" s="3"/>
      <c r="E82" s="3"/>
      <c r="F82" s="3"/>
      <c r="G82" s="3" t="s">
        <v>52</v>
      </c>
      <c r="H82" s="3"/>
      <c r="I82" s="23"/>
      <c r="J82" s="23"/>
      <c r="K82" s="23"/>
      <c r="L82" s="47"/>
      <c r="M82" s="23"/>
      <c r="N82" s="2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2"/>
      <c r="C83" s="3" t="s">
        <v>53</v>
      </c>
      <c r="D83" s="3"/>
      <c r="E83" s="3"/>
      <c r="F83" s="3"/>
      <c r="G83" s="3" t="s">
        <v>54</v>
      </c>
      <c r="H83" s="3"/>
      <c r="I83" s="23"/>
      <c r="J83" s="23"/>
      <c r="K83" s="23"/>
      <c r="L83" s="47"/>
      <c r="M83" s="23"/>
      <c r="N83" s="2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2"/>
      <c r="C84" s="3" t="s">
        <v>55</v>
      </c>
      <c r="D84" s="3"/>
      <c r="E84" s="3"/>
      <c r="F84" s="3"/>
      <c r="G84" s="3" t="s">
        <v>56</v>
      </c>
      <c r="H84" s="3"/>
      <c r="I84" s="23"/>
      <c r="J84" s="23"/>
      <c r="K84" s="23"/>
      <c r="L84" s="47"/>
      <c r="M84" s="23"/>
      <c r="N84" s="2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2"/>
      <c r="C85" s="3" t="s">
        <v>57</v>
      </c>
      <c r="D85" s="3"/>
      <c r="E85" s="3"/>
      <c r="F85" s="3"/>
      <c r="G85" s="3" t="s">
        <v>58</v>
      </c>
      <c r="H85" s="3"/>
      <c r="I85" s="23"/>
      <c r="J85" s="23"/>
      <c r="K85" s="23"/>
      <c r="L85" s="47"/>
      <c r="M85" s="23"/>
      <c r="N85" s="2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2"/>
      <c r="C86" s="3" t="s">
        <v>59</v>
      </c>
      <c r="D86" s="3"/>
      <c r="E86" s="3"/>
      <c r="F86" s="3"/>
      <c r="G86" s="3" t="s">
        <v>60</v>
      </c>
      <c r="H86" s="3"/>
      <c r="I86" s="23"/>
      <c r="J86" s="23"/>
      <c r="K86" s="23"/>
      <c r="L86" s="47"/>
      <c r="M86" s="23"/>
      <c r="N86" s="2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2"/>
      <c r="C87" s="3" t="s">
        <v>61</v>
      </c>
      <c r="D87" s="3"/>
      <c r="E87" s="3"/>
      <c r="F87" s="3"/>
      <c r="G87" s="3" t="s">
        <v>62</v>
      </c>
      <c r="H87" s="3"/>
      <c r="I87" s="23"/>
      <c r="J87" s="23"/>
      <c r="K87" s="23"/>
      <c r="L87" s="47"/>
      <c r="M87" s="23"/>
      <c r="N87" s="2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2"/>
      <c r="C88" s="3" t="s">
        <v>63</v>
      </c>
      <c r="D88" s="3"/>
      <c r="E88" s="3"/>
      <c r="F88" s="3"/>
      <c r="G88" s="3" t="s">
        <v>64</v>
      </c>
      <c r="H88" s="3"/>
      <c r="I88" s="23"/>
      <c r="J88" s="23"/>
      <c r="K88" s="23"/>
      <c r="L88" s="47"/>
      <c r="M88" s="23"/>
      <c r="N88" s="2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2"/>
      <c r="C89" s="3" t="s">
        <v>65</v>
      </c>
      <c r="D89" s="3"/>
      <c r="E89" s="3"/>
      <c r="F89" s="3"/>
      <c r="G89" s="3" t="s">
        <v>66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48" t="s">
        <v>67</v>
      </c>
      <c r="C93" s="3"/>
      <c r="D93" s="3"/>
      <c r="E93" s="3"/>
      <c r="F93" s="3"/>
      <c r="G93" s="3"/>
      <c r="H93" s="3"/>
      <c r="I93" s="23"/>
      <c r="J93" s="23"/>
      <c r="K93" s="23"/>
      <c r="L93" s="47"/>
      <c r="M93" s="23"/>
      <c r="N93" s="2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70" t="s">
        <v>68</v>
      </c>
      <c r="C94" s="3"/>
      <c r="D94" s="3"/>
      <c r="E94" s="3"/>
      <c r="F94" s="3"/>
      <c r="G94" s="3"/>
      <c r="H94" s="3"/>
      <c r="I94" s="23"/>
      <c r="J94" s="23"/>
      <c r="K94" s="23"/>
      <c r="L94" s="47"/>
      <c r="M94" s="23"/>
      <c r="N94" s="2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2"/>
      <c r="C96" s="24" t="s">
        <v>69</v>
      </c>
      <c r="D96" s="3"/>
      <c r="E96" s="3"/>
      <c r="F96" s="2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2"/>
      <c r="C97" s="61"/>
      <c r="D97" s="20" t="s">
        <v>6</v>
      </c>
      <c r="E97" s="20" t="s">
        <v>7</v>
      </c>
      <c r="F97" s="20" t="s">
        <v>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2"/>
      <c r="C98" s="71" t="s">
        <v>70</v>
      </c>
      <c r="D98" s="72">
        <v>5.0</v>
      </c>
      <c r="E98" s="72">
        <v>5.0</v>
      </c>
      <c r="F98" s="72">
        <v>5.0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2"/>
      <c r="C99" s="71" t="s">
        <v>71</v>
      </c>
      <c r="D99" s="72">
        <v>3.0</v>
      </c>
      <c r="E99" s="72">
        <v>3.0</v>
      </c>
      <c r="F99" s="72">
        <v>3.0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2"/>
      <c r="C100" s="2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2"/>
      <c r="C101" s="24" t="s">
        <v>72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2"/>
      <c r="C102" s="73"/>
      <c r="D102" s="20" t="s">
        <v>6</v>
      </c>
      <c r="E102" s="20" t="s">
        <v>7</v>
      </c>
      <c r="F102" s="20" t="s">
        <v>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5.5" customHeight="1">
      <c r="A103" s="74" t="s">
        <v>73</v>
      </c>
      <c r="B103" s="2"/>
      <c r="C103" s="73" t="s">
        <v>74</v>
      </c>
      <c r="D103" s="75">
        <v>15.0</v>
      </c>
      <c r="E103" s="75">
        <v>24.0</v>
      </c>
      <c r="F103" s="75">
        <v>18.0</v>
      </c>
      <c r="G103" s="25" t="s">
        <v>75</v>
      </c>
      <c r="H103" s="2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3.25" customHeight="1">
      <c r="A104" s="74" t="s">
        <v>73</v>
      </c>
      <c r="B104" s="2"/>
      <c r="C104" s="73" t="s">
        <v>76</v>
      </c>
      <c r="D104" s="76">
        <f t="shared" ref="D104:F104" si="15">IFERROR(D103/D68,0)</f>
        <v>0.4545454545</v>
      </c>
      <c r="E104" s="76">
        <f t="shared" si="15"/>
        <v>0.9230769231</v>
      </c>
      <c r="F104" s="76">
        <f t="shared" si="15"/>
        <v>0.72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2"/>
      <c r="C105" s="2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2"/>
      <c r="C106" s="24" t="s">
        <v>39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4"/>
      <c r="B107" s="2"/>
      <c r="C107" s="66" t="s">
        <v>77</v>
      </c>
      <c r="D107" s="66" t="s">
        <v>78</v>
      </c>
      <c r="E107" s="66" t="s">
        <v>79</v>
      </c>
      <c r="F107" s="46"/>
      <c r="G107" s="46"/>
      <c r="H107" s="46"/>
      <c r="I107" s="4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4"/>
      <c r="B108" s="2"/>
      <c r="C108" s="46"/>
      <c r="D108" s="46"/>
      <c r="E108" s="46"/>
      <c r="F108" s="46"/>
      <c r="G108" s="46"/>
      <c r="H108" s="46"/>
      <c r="I108" s="4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4"/>
      <c r="B109" s="2"/>
      <c r="C109" s="66" t="s">
        <v>80</v>
      </c>
      <c r="D109" s="66" t="s">
        <v>81</v>
      </c>
      <c r="E109" s="66" t="s">
        <v>82</v>
      </c>
      <c r="F109" s="46"/>
      <c r="G109" s="46"/>
      <c r="H109" s="46"/>
      <c r="I109" s="4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4"/>
      <c r="B110" s="2"/>
      <c r="C110" s="46"/>
      <c r="D110" s="46"/>
      <c r="E110" s="66" t="s">
        <v>83</v>
      </c>
      <c r="F110" s="46"/>
      <c r="G110" s="46"/>
      <c r="H110" s="46"/>
      <c r="I110" s="4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4"/>
      <c r="B111" s="2"/>
      <c r="C111" s="46"/>
      <c r="D111" s="46"/>
      <c r="E111" s="46"/>
      <c r="F111" s="46"/>
      <c r="G111" s="46"/>
      <c r="H111" s="46"/>
      <c r="I111" s="4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4"/>
      <c r="B112" s="2"/>
      <c r="C112" s="46" t="s">
        <v>84</v>
      </c>
      <c r="D112" s="66" t="s">
        <v>85</v>
      </c>
      <c r="E112" s="46"/>
      <c r="F112" s="46"/>
      <c r="G112" s="46"/>
      <c r="H112" s="46"/>
      <c r="I112" s="4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4"/>
      <c r="B113" s="2"/>
      <c r="C113" s="46" t="s">
        <v>86</v>
      </c>
      <c r="D113" s="46"/>
      <c r="E113" s="46"/>
      <c r="F113" s="46"/>
      <c r="G113" s="46"/>
      <c r="H113" s="46"/>
      <c r="I113" s="4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2"/>
      <c r="C114" s="2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4"/>
      <c r="B115" s="2"/>
      <c r="C115" s="46" t="s">
        <v>87</v>
      </c>
      <c r="D115" s="46"/>
      <c r="E115" s="46"/>
      <c r="F115" s="46"/>
      <c r="G115" s="46"/>
      <c r="H115" s="46"/>
      <c r="I115" s="4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2"/>
      <c r="C117" s="24"/>
      <c r="D117" s="3"/>
      <c r="E117" s="3"/>
      <c r="F117" s="27"/>
      <c r="G117" s="2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48" t="s">
        <v>88</v>
      </c>
      <c r="C118" s="3"/>
      <c r="D118" s="3"/>
      <c r="E118" s="3"/>
      <c r="F118" s="3"/>
      <c r="G118" s="3"/>
      <c r="H118" s="3"/>
      <c r="I118" s="3"/>
      <c r="J118" s="23"/>
      <c r="K118" s="23"/>
      <c r="L118" s="23"/>
      <c r="M118" s="47"/>
      <c r="N118" s="23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70" t="s">
        <v>89</v>
      </c>
      <c r="C119" s="3"/>
      <c r="D119" s="3"/>
      <c r="E119" s="3"/>
      <c r="F119" s="3"/>
      <c r="G119" s="3"/>
      <c r="H119" s="3"/>
      <c r="I119" s="3"/>
      <c r="J119" s="23"/>
      <c r="K119" s="23"/>
      <c r="L119" s="23"/>
      <c r="M119" s="47"/>
      <c r="N119" s="23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2"/>
      <c r="C121" s="24" t="s">
        <v>98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2"/>
      <c r="C122" s="73"/>
      <c r="D122" s="20" t="s">
        <v>6</v>
      </c>
      <c r="E122" s="20" t="s">
        <v>7</v>
      </c>
      <c r="F122" s="20" t="s">
        <v>8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4" t="s">
        <v>73</v>
      </c>
      <c r="B123" s="2"/>
      <c r="C123" s="61" t="s">
        <v>91</v>
      </c>
      <c r="D123" s="72">
        <v>45.0</v>
      </c>
      <c r="E123" s="72">
        <v>45.0</v>
      </c>
      <c r="F123" s="72">
        <v>45.0</v>
      </c>
      <c r="G123" s="3"/>
      <c r="H123" s="2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4" t="s">
        <v>73</v>
      </c>
      <c r="B124" s="2"/>
      <c r="C124" s="61" t="s">
        <v>92</v>
      </c>
      <c r="D124" s="72">
        <v>0.0</v>
      </c>
      <c r="E124" s="72">
        <v>0.0</v>
      </c>
      <c r="F124" s="72">
        <v>0.0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4" t="s">
        <v>73</v>
      </c>
      <c r="B125" s="2"/>
      <c r="C125" s="61" t="s">
        <v>93</v>
      </c>
      <c r="D125" s="77">
        <f t="shared" ref="D125:F125" si="16">IFERROR(D65/D123,0)</f>
        <v>246.6666667</v>
      </c>
      <c r="E125" s="77">
        <f t="shared" si="16"/>
        <v>224.4444444</v>
      </c>
      <c r="F125" s="77">
        <f t="shared" si="16"/>
        <v>224.4444444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1"/>
      <c r="B127" s="2"/>
      <c r="C127" s="24" t="s">
        <v>39</v>
      </c>
      <c r="D127" s="46"/>
      <c r="E127" s="46"/>
      <c r="F127" s="4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2"/>
      <c r="C128" s="66" t="s">
        <v>94</v>
      </c>
      <c r="D128" s="3"/>
      <c r="E128" s="3"/>
      <c r="F128" s="4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2"/>
      <c r="C129" s="66"/>
      <c r="D129" s="3"/>
      <c r="E129" s="3"/>
      <c r="F129" s="4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2"/>
      <c r="C130" s="66" t="s">
        <v>95</v>
      </c>
      <c r="D130" s="3"/>
      <c r="E130" s="3"/>
      <c r="F130" s="4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2"/>
      <c r="C131" s="66" t="s">
        <v>96</v>
      </c>
      <c r="D131" s="3"/>
      <c r="E131" s="3"/>
      <c r="F131" s="4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2"/>
      <c r="C133" s="6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62:D62"/>
  </mergeCells>
  <dataValidations>
    <dataValidation type="list" allowBlank="1" showErrorMessage="1" sqref="D2">
      <formula1>"EYE,CGD,CLF,IDJ,OBS,GLT,AGL,YTS,ECO,SKC"</formula1>
    </dataValidation>
  </dataValidations>
  <drawing r:id="rId1"/>
</worksheet>
</file>